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ổng quan" sheetId="1" state="visible" r:id="rId3"/>
    <sheet name="Kế hoạch &amp; Chia việc" sheetId="2" state="visible" r:id="rId4"/>
    <sheet name="Tổng hợp khối lượng" sheetId="3" state="visible" r:id="rId5"/>
    <sheet name="API - Nhật" sheetId="4" state="visible" r:id="rId6"/>
    <sheet name="API - Quân" sheetId="5" state="visible" r:id="rId7"/>
    <sheet name="API - Nghĩa (FE)" sheetId="6" state="visible" r:id="rId8"/>
    <sheet name="API - Tổng hợp" sheetId="7" state="visible" r:id="rId9"/>
    <sheet name="Database" sheetId="8" state="visible" r:id="rId10"/>
    <sheet name="Figma UX-UI" sheetId="9" state="visible" r:id="rId11"/>
    <sheet name="Git workflow" sheetId="10" state="visible" r:id="rId12"/>
  </sheets>
  <definedNames>
    <definedName function="false" hidden="true" localSheetId="5" name="_xlnm._FilterDatabase" vbProcedure="false">'API - Nghĩa (FE)'!$A$4:$K$145</definedName>
    <definedName function="false" hidden="true" localSheetId="3" name="_xlnm._FilterDatabase" vbProcedure="false">'API - Nhật'!$A$4:$L$80</definedName>
    <definedName function="false" hidden="true" localSheetId="4" name="_xlnm._FilterDatabase" vbProcedure="false">'API - Quân'!$A$4:$L$85</definedName>
    <definedName function="false" hidden="true" localSheetId="1" name="_xlnm._FilterDatabase" vbProcedure="false">'Kế hoạch &amp; Chia việc'!$A$4:$L$58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<sst xmlns="http://schemas.openxmlformats.org/spreadsheetml/2006/main" count="4026" uniqueCount="1029">
  <si>
    <t xml:space="preserve">KẾ HOẠCH ĐỒ ÁN: INVENTORY MICROSERVICE (tên tạm)</t>
  </si>
  <si>
    <t xml:space="preserve">Dựa trên SRS TigerNet v1.1 · lập ngày 25/10/2026 · các ô nền vàng là ô cần điền/cập nhật</t>
  </si>
  <si>
    <t xml:space="preserve">Tên dự án</t>
  </si>
  <si>
    <t xml:space="preserve">(chưa đặt tên) – Hệ thống quản lý kho đa kho, kiến trúc microservice</t>
  </si>
  <si>
    <t xml:space="preserve">Nguồn yêu cầu</t>
  </si>
  <si>
    <t xml:space="preserve">SRS TigerNet v1.1 (Google Drive) – mục 3 chức năng, mục 6 dữ liệu, mục 8.5 kịch bản đa kho</t>
  </si>
  <si>
    <t xml:space="preserve">Thời gian</t>
  </si>
  <si>
    <t xml:space="preserve">2 tháng: 26/10/2026 → 25/12/2026 (8 tuần phát triển + 1 tuần kiểm thử, bàn giao)</t>
  </si>
  <si>
    <t xml:space="preserve">Nhân sự</t>
  </si>
  <si>
    <t xml:space="preserve">3 người: Nhật (Backend 1), Quân (Backend 2), Nghĩa (Frontend + UI/UX Figma)</t>
  </si>
  <si>
    <t xml:space="preserve">Backend</t>
  </si>
  <si>
    <t xml:space="preserve">NodeJS 22 · Express · Prisma · MySQL 8 (database per service) · Redis · RabbitMQ · Socket.IO · Jest</t>
  </si>
  <si>
    <t xml:space="preserve">Frontend</t>
  </si>
  <si>
    <t xml:space="preserve">React 18 · Vite · Ant Design 5 · React Router · TanStack Query · Zustand · Recharts · Vitest</t>
  </si>
  <si>
    <t xml:space="preserve">Thiết kế</t>
  </si>
  <si>
    <t xml:space="preserve">Figma: sitemap, user flow, wireframe, design system (light/dark), hi-fi desktop + mobile, prototype</t>
  </si>
  <si>
    <t xml:space="preserve">Hạ tầng</t>
  </si>
  <si>
    <t xml:space="preserve">Docker Compose (dev + demo) · GitHub Actions CI · deploy VPS/Render khi bàn giao</t>
  </si>
  <si>
    <t xml:space="preserve">Services</t>
  </si>
  <si>
    <t xml:space="preserve">api-gateway · auth-service · catalog-service · inventory-service · order-service · report-service</t>
  </si>
  <si>
    <t xml:space="preserve">Phạm vi KHÔNG làm</t>
  </si>
  <si>
    <t xml:space="preserve">App Flutter, offline mode, đăng nhập Google OAuth, xuất .doc/.xml; vị trí Khu-Kệ-Ô là stretch goal</t>
  </si>
  <si>
    <t xml:space="preserve">Tài liệu kèm</t>
  </si>
  <si>
    <t xml:space="preserve">Thiet_ke_he_thong.md · database/schema.sql · diagrams/*.png (kiến trúc, ERD 5 service, luồng xuất kho, git workflow)</t>
  </si>
  <si>
    <t xml:space="preserve">THÀNH VIÊN</t>
  </si>
  <si>
    <t xml:space="preserve">Thành viên</t>
  </si>
  <si>
    <t xml:space="preserve">Họ tên</t>
  </si>
  <si>
    <t xml:space="preserve">Vai trò</t>
  </si>
  <si>
    <t xml:space="preserve">Phụ trách chính</t>
  </si>
  <si>
    <t xml:space="preserve">Review chéo</t>
  </si>
  <si>
    <t xml:space="preserve">Nhật</t>
  </si>
  <si>
    <t xml:space="preserve">Backend 1 + DevOps</t>
  </si>
  <si>
    <t xml:space="preserve">packages/common, api-gateway, auth-service, catalog-service, report-service (báo cáo, cảnh báo, audit, xuất file, backup), thanh toán/công nợ, CI/CD, deploy</t>
  </si>
  <si>
    <t xml:space="preserve">PR của Quân</t>
  </si>
  <si>
    <t xml:space="preserve">Quân</t>
  </si>
  <si>
    <t xml:space="preserve">Backend 2 + Database</t>
  </si>
  <si>
    <t xml:space="preserve">Thiết kế CSDL, docker-compose, inventory-service (kho, tồn, serial, giữ hàng, kiểm kê), order-service (nhập, xuất, chuyển kho, thuê/mượn, đổi trả), test kịch bản 8.5</t>
  </si>
  <si>
    <t xml:space="preserve">PR của Nhật</t>
  </si>
  <si>
    <t xml:space="preserve">Nghĩa</t>
  </si>
  <si>
    <t xml:space="preserve">Frontend + UI/UX (Figma)</t>
  </si>
  <si>
    <t xml:space="preserve">Figma (toàn bộ), React Vite app, tích hợp API, responsive, dark mode</t>
  </si>
  <si>
    <t xml:space="preserve">Nhật/Quân review phần gọi API</t>
  </si>
  <si>
    <t xml:space="preserve">CỘT MỐC</t>
  </si>
  <si>
    <t xml:space="preserve">Sprint</t>
  </si>
  <si>
    <t xml:space="preserve">Mục tiêu</t>
  </si>
  <si>
    <t xml:space="preserve">Release</t>
  </si>
  <si>
    <t xml:space="preserve">Demo</t>
  </si>
  <si>
    <t xml:space="preserve">Sprint 1 (W1–W2)</t>
  </si>
  <si>
    <t xml:space="preserve">26/10 – 08/11</t>
  </si>
  <si>
    <t xml:space="preserve">Nền tảng: repo, docker, CSDL, common lib, gateway, đăng nhập, kho; Figma design system + wireframe; FE khung app</t>
  </si>
  <si>
    <t xml:space="preserve">v0.1.0</t>
  </si>
  <si>
    <t xml:space="preserve">08/11</t>
  </si>
  <si>
    <t xml:space="preserve">Sprint 2 (W3–W4)</t>
  </si>
  <si>
    <t xml:space="preserve">09/11 – 22/11</t>
  </si>
  <si>
    <t xml:space="preserve">Danh mục, người dùng &amp; phân quyền kho, lõi tồn kho, phiếu nhập; Figma hi-fi hoàn tất; FE đăng nhập + danh mục</t>
  </si>
  <si>
    <t xml:space="preserve">v0.2.0</t>
  </si>
  <si>
    <t xml:space="preserve">22/11</t>
  </si>
  <si>
    <t xml:space="preserve">Sprint 3 (W5–W6)</t>
  </si>
  <si>
    <t xml:space="preserve">23/11 – 06/12</t>
  </si>
  <si>
    <t xml:space="preserve">Phiếu xuất, giữ hàng, chuyển kho, thanh toán/công nợ, cảnh báo, event báo cáo; FE nhập/xuất/kho</t>
  </si>
  <si>
    <t xml:space="preserve">v0.3.0</t>
  </si>
  <si>
    <t xml:space="preserve">06/12</t>
  </si>
  <si>
    <t xml:space="preserve">Sprint 4 (W7–W8)</t>
  </si>
  <si>
    <t xml:space="preserve">07/12 – 20/12</t>
  </si>
  <si>
    <t xml:space="preserve">Thuê/mượn, đổi trả, kiểm kê, báo cáo + xuất file, backup; FE toàn bộ màn còn lại; code freeze 20/12</t>
  </si>
  <si>
    <t xml:space="preserve">v0.4.0</t>
  </si>
  <si>
    <t xml:space="preserve">20/12</t>
  </si>
  <si>
    <t xml:space="preserve">Bàn giao (W9)</t>
  </si>
  <si>
    <t xml:space="preserve">21/12 – 25/12</t>
  </si>
  <si>
    <t xml:space="preserve">UAT theo SRS mục 8, sửa lỗi, deploy, tài liệu, slide, video demo</t>
  </si>
  <si>
    <t xml:space="preserve">v1.0.0</t>
  </si>
  <si>
    <t xml:space="preserve">25/12</t>
  </si>
  <si>
    <t xml:space="preserve">RỦI RO</t>
  </si>
  <si>
    <t xml:space="preserve">Rủi ro</t>
  </si>
  <si>
    <t xml:space="preserve">Ảnh hưởng</t>
  </si>
  <si>
    <t xml:space="preserve">Cách xử lý</t>
  </si>
  <si>
    <t xml:space="preserve">Order-service nhiều nghiệp vụ, Quân quá tải</t>
  </si>
  <si>
    <t xml:space="preserve">Trễ Sprint 3–4</t>
  </si>
  <si>
    <t xml:space="preserve">Nhật nhận thanh toán/công nợ/bảo hành; nếu trễ cắt vị trí Khu-Kệ-Ô và giảm báo cáo đa kho xuống 1 màn so sánh</t>
  </si>
  <si>
    <t xml:space="preserve">Nghĩa vừa Figma vừa code</t>
  </si>
  <si>
    <t xml:space="preserve">Màn hình code trễ</t>
  </si>
  <si>
    <t xml:space="preserve">Figma hi-fi xong trước W4; dùng Ant Design để giảm tự code component; Nhật hỗ trợ màn admin ở W8</t>
  </si>
  <si>
    <t xml:space="preserve">Sai lệch tồn khi đồng thời</t>
  </si>
  <si>
    <t xml:space="preserve">Fail kịch bản 8.5#5</t>
  </si>
  <si>
    <t xml:space="preserve">Transaction + SELECT FOR UPDATE + version + Redis lock; viết test đồng thời từ W4</t>
  </si>
  <si>
    <t xml:space="preserve">Đổi API giữa chừng</t>
  </si>
  <si>
    <t xml:space="preserve">FE phải sửa nhiều</t>
  </si>
  <si>
    <t xml:space="preserve">Chốt OpenAPI W2; đổi contract phải có FE approve PR; dùng mock (MSW) khi BE chưa xong</t>
  </si>
  <si>
    <t xml:space="preserve">Microservice khó debug</t>
  </si>
  <si>
    <t xml:space="preserve">Mất thời gian</t>
  </si>
  <si>
    <t xml:space="preserve">Log có request-id xuyên service (pino), docker compose 1 lệnh, health check mỗi service</t>
  </si>
  <si>
    <t xml:space="preserve">KẾ HOẠCH 9 TUẦN &amp; CHIA VIỆC</t>
  </si>
  <si>
    <t xml:space="preserve">Tuần BĐ/KT nhập số 1–9 (W1 = 26/10/2026). Biểu đồ Gantt tự tô màu theo Tuần BĐ–KT. Cột Trạng thái chọn từ danh sách.</t>
  </si>
  <si>
    <t xml:space="preserve">Số tuần →</t>
  </si>
  <si>
    <t xml:space="preserve">ID</t>
  </si>
  <si>
    <t xml:space="preserve">Hạng mục</t>
  </si>
  <si>
    <t xml:space="preserve">Công việc</t>
  </si>
  <si>
    <t xml:space="preserve">Người</t>
  </si>
  <si>
    <t xml:space="preserve">Tuần BĐ</t>
  </si>
  <si>
    <t xml:space="preserve">Tuần KT</t>
  </si>
  <si>
    <t xml:space="preserve">Giờ ước tính</t>
  </si>
  <si>
    <t xml:space="preserve">Ưu tiên</t>
  </si>
  <si>
    <t xml:space="preserve">Phụ thuộc</t>
  </si>
  <si>
    <t xml:space="preserve">Kết quả bàn giao</t>
  </si>
  <si>
    <t xml:space="preserve">Trạng thái</t>
  </si>
  <si>
    <t xml:space="preserve">W1
26/10–01/11</t>
  </si>
  <si>
    <t xml:space="preserve">W2
02/11–08/11</t>
  </si>
  <si>
    <t xml:space="preserve">W3
09/11–15/11</t>
  </si>
  <si>
    <t xml:space="preserve">W4
16/11–22/11</t>
  </si>
  <si>
    <t xml:space="preserve">W5
23/11–29/11</t>
  </si>
  <si>
    <t xml:space="preserve">W6
30/11–06/12</t>
  </si>
  <si>
    <t xml:space="preserve">W7
07/12–13/12</t>
  </si>
  <si>
    <t xml:space="preserve">W8
14/12–20/12</t>
  </si>
  <si>
    <t xml:space="preserve">W9
21/12–25/12</t>
  </si>
  <si>
    <t xml:space="preserve">T01</t>
  </si>
  <si>
    <t xml:space="preserve">Sprint 1</t>
  </si>
  <si>
    <t xml:space="preserve">Quản lý</t>
  </si>
  <si>
    <t xml:space="preserve">Kick-off, đọc SRS v1.1, chốt phạm vi MVP, tạo GitHub Project &amp; issue từ sheet này</t>
  </si>
  <si>
    <t xml:space="preserve">Cả nhóm</t>
  </si>
  <si>
    <t xml:space="preserve">P0</t>
  </si>
  <si>
    <t xml:space="preserve">Backlog trên GitHub Projects</t>
  </si>
  <si>
    <t xml:space="preserve">Chưa bắt đầu</t>
  </si>
  <si>
    <t xml:space="preserve">T02</t>
  </si>
  <si>
    <t xml:space="preserve">DevOps</t>
  </si>
  <si>
    <t xml:space="preserve">Tạo monorepo (npm workspaces), ESLint/Prettier, husky + commitlint, PR template, CODEOWNERS, branch protection</t>
  </si>
  <si>
    <t xml:space="preserve">Repo + quy ước</t>
  </si>
  <si>
    <t xml:space="preserve">T03</t>
  </si>
  <si>
    <t xml:space="preserve">Database</t>
  </si>
  <si>
    <t xml:space="preserve">Review &amp; chốt ERD + schema.sql 5 database; Prisma schema + migration + seed cho từng service</t>
  </si>
  <si>
    <t xml:space="preserve">schema.prisma ×5, seed</t>
  </si>
  <si>
    <t xml:space="preserve">T04</t>
  </si>
  <si>
    <t xml:space="preserve">docker-compose: MySQL, Redis, RabbitMQ, MailHog + init SQL; .env.example</t>
  </si>
  <si>
    <t xml:space="preserve">docker compose up chạy được</t>
  </si>
  <si>
    <t xml:space="preserve">T05</t>
  </si>
  <si>
    <t xml:space="preserve">Backend chung</t>
  </si>
  <si>
    <t xml:space="preserve">packages/common: logger(pino, request-id), AppError, errorHandler, response, validate(zod), auth-context, requireRole, requireWarehouseAccess, rabbitmq, httpClient, idempotency</t>
  </si>
  <si>
    <t xml:space="preserve">@inv/common</t>
  </si>
  <si>
    <t xml:space="preserve">T06</t>
  </si>
  <si>
    <t xml:space="preserve">API contract</t>
  </si>
  <si>
    <t xml:space="preserve">Chốt OpenAPI v1 cho toàn bộ endpoint (sheet API), mock server cho FE</t>
  </si>
  <si>
    <t xml:space="preserve">docs/openapi/*.yaml</t>
  </si>
  <si>
    <t xml:space="preserve">T07</t>
  </si>
  <si>
    <t xml:space="preserve">GitHub Actions CI: lint + test + build theo service (paths filter)</t>
  </si>
  <si>
    <t xml:space="preserve">ci.yml xanh</t>
  </si>
  <si>
    <t xml:space="preserve">T08</t>
  </si>
  <si>
    <t xml:space="preserve">Gateway</t>
  </si>
  <si>
    <t xml:space="preserve">api-gateway: proxy 5 service, verify JWT, gắn header user/kho, rate limit theo user/ngày, CORS, gộp Swagger, proxy WebSocket</t>
  </si>
  <si>
    <t xml:space="preserve">common</t>
  </si>
  <si>
    <t xml:space="preserve">Gateway :8080</t>
  </si>
  <si>
    <t xml:space="preserve">T09</t>
  </si>
  <si>
    <t xml:space="preserve">Auth</t>
  </si>
  <si>
    <t xml:space="preserve">auth-service: login, refresh, logout, me; bcrypt; khóa 5 phút sau 5 lần sai; login_histories</t>
  </si>
  <si>
    <t xml:space="preserve">API Auth P0</t>
  </si>
  <si>
    <t xml:space="preserve">T10</t>
  </si>
  <si>
    <t xml:space="preserve">Inventory</t>
  </si>
  <si>
    <t xml:space="preserve">inventory-service: CRUD kho, đổi trạng thái kho + kiểm tra điều kiện ngừng hoạt động, kho mặc định, ngưỡng tồn theo kho</t>
  </si>
  <si>
    <t xml:space="preserve">schema</t>
  </si>
  <si>
    <t xml:space="preserve">API Warehouses</t>
  </si>
  <si>
    <t xml:space="preserve">T11</t>
  </si>
  <si>
    <t xml:space="preserve">UI/UX</t>
  </si>
  <si>
    <t xml:space="preserve">Sitemap + user flow theo 5 vai trò (Figma/FigJam)</t>
  </si>
  <si>
    <t xml:space="preserve">SRS</t>
  </si>
  <si>
    <t xml:space="preserve">Sitemap, user flow</t>
  </si>
  <si>
    <t xml:space="preserve">T12</t>
  </si>
  <si>
    <t xml:space="preserve">Wireframe low-fi toàn bộ màn hình (sheet Figma UX-UI)</t>
  </si>
  <si>
    <t xml:space="preserve">Sitemap</t>
  </si>
  <si>
    <t xml:space="preserve">Wireframe</t>
  </si>
  <si>
    <t xml:space="preserve">T13</t>
  </si>
  <si>
    <t xml:space="preserve">Design system Figma: màu, typography, spacing, icon, component (button, input, select, table, tag trạng thái, modal, toast), light/dark, màu nhận diện kho</t>
  </si>
  <si>
    <t xml:space="preserve">Figma library</t>
  </si>
  <si>
    <t xml:space="preserve">T14</t>
  </si>
  <si>
    <t xml:space="preserve">Hi-fi: Đăng nhập, Quên MK (OTP), Layout chung (header chọn kho + chuông), Dashboard</t>
  </si>
  <si>
    <t xml:space="preserve">Design system</t>
  </si>
  <si>
    <t xml:space="preserve">Hi-fi nhóm 1</t>
  </si>
  <si>
    <t xml:space="preserve">T15</t>
  </si>
  <si>
    <t xml:space="preserve">Setup React Vite: router, theme AntD từ token Figma, axios interceptor (refresh token, X-Warehouse-Id), Zustand, TanStack Query, MainLayout</t>
  </si>
  <si>
    <t xml:space="preserve">Khung app</t>
  </si>
  <si>
    <t xml:space="preserve">T16</t>
  </si>
  <si>
    <t xml:space="preserve">Demo Sprint 1, retro, release v0.1.0</t>
  </si>
  <si>
    <t xml:space="preserve">P1</t>
  </si>
  <si>
    <t xml:space="preserve">Tag v0.1.0</t>
  </si>
  <si>
    <t xml:space="preserve">T17</t>
  </si>
  <si>
    <t xml:space="preserve">Sprint 2</t>
  </si>
  <si>
    <t xml:space="preserve">Quên mật khẩu OTP qua email (nodemailer/MailHog), đổi mật khẩu</t>
  </si>
  <si>
    <t xml:space="preserve">Auth P0</t>
  </si>
  <si>
    <t xml:space="preserve">API OTP</t>
  </si>
  <si>
    <t xml:space="preserve">T18</t>
  </si>
  <si>
    <t xml:space="preserve">Quản lý người dùng: CRUD, vô hiệu hóa, gán vai trò, gán kho (can_write), kho mặc định; system_settings; thống kê truy cập tháng</t>
  </si>
  <si>
    <t xml:space="preserve">Warehouses</t>
  </si>
  <si>
    <t xml:space="preserve">API Users</t>
  </si>
  <si>
    <t xml:space="preserve">T19</t>
  </si>
  <si>
    <t xml:space="preserve">Catalog</t>
  </si>
  <si>
    <t xml:space="preserve">catalog-service: CRUD nhóm SP, sản phẩm (tìm/lọc/sắp xếp/phân trang, xóa mềm), NCC (mã hóa STK), khách hàng; upload ảnh; API nội bộ lấy theo danh sách ID</t>
  </si>
  <si>
    <t xml:space="preserve">API Catalog</t>
  </si>
  <si>
    <t xml:space="preserve">T20</t>
  </si>
  <si>
    <t xml:space="preserve">Lõi tồn kho: stock_balances, stock_items, stock_movements; API nội bộ receive/check/reserve/commit/release với transaction + SELECT FOR UPDATE + version + Redis lock + Idempotency-Key</t>
  </si>
  <si>
    <t xml:space="preserve">Internal stock API</t>
  </si>
  <si>
    <t xml:space="preserve">T21</t>
  </si>
  <si>
    <t xml:space="preserve">Test đồng thời (2 request cùng serial → 1 thành công) – kịch bản 8.5#5</t>
  </si>
  <si>
    <t xml:space="preserve">Lõi tồn</t>
  </si>
  <si>
    <t xml:space="preserve">Jest test</t>
  </si>
  <si>
    <t xml:space="preserve">T22</t>
  </si>
  <si>
    <t xml:space="preserve">Order</t>
  </si>
  <si>
    <t xml:space="preserve">order-service: doc_sequences sinh mã, phiếu nhập CRUD + xác nhận → cộng tồn kho nhận, kiểm serial trùng toàn hệ thống, outbox publisher</t>
  </si>
  <si>
    <t xml:space="preserve">API Receipts</t>
  </si>
  <si>
    <t xml:space="preserve">T23</t>
  </si>
  <si>
    <t xml:space="preserve">API tra cứu tồn: theo SP ở mọi kho, theo kho, theo serial, hàng dưới ngưỡng, lịch sử biến động</t>
  </si>
  <si>
    <t xml:space="preserve">API Stock</t>
  </si>
  <si>
    <t xml:space="preserve">T24</t>
  </si>
  <si>
    <t xml:space="preserve">Report</t>
  </si>
  <si>
    <t xml:space="preserve">report-service khung: consumer RabbitMQ, audit log, notifications API + Socket.IO qua gateway</t>
  </si>
  <si>
    <t xml:space="preserve">RabbitMQ</t>
  </si>
  <si>
    <t xml:space="preserve">API Notifications</t>
  </si>
  <si>
    <t xml:space="preserve">T25</t>
  </si>
  <si>
    <t xml:space="preserve">Hi-fi: Sản phẩm, Nhóm SP, NCC, Khách hàng, Danh mục kho, Người dùng &amp; gán kho, Cấu hình</t>
  </si>
  <si>
    <t xml:space="preserve">Hi-fi nhóm 2</t>
  </si>
  <si>
    <t xml:space="preserve">T26</t>
  </si>
  <si>
    <t xml:space="preserve">Hi-fi: Nhập kho, Xuất kho (bảng tồn kho khác), Giữ hàng, Chuyển kho (đi/đến/nhận/sai lệch), Thuê/mượn + trả, Đổi trả, Kiểm kê, Báo cáo, Thông báo, Nhật ký</t>
  </si>
  <si>
    <t xml:space="preserve">Hi-fi nhóm 3</t>
  </si>
  <si>
    <t xml:space="preserve">T27</t>
  </si>
  <si>
    <t xml:space="preserve">Bản mobile/tablet cho màn chính, prototype click-through, review với nhóm</t>
  </si>
  <si>
    <t xml:space="preserve">Hi-fi</t>
  </si>
  <si>
    <t xml:space="preserve">Prototype</t>
  </si>
  <si>
    <t xml:space="preserve">T28</t>
  </si>
  <si>
    <t xml:space="preserve">Đăng nhập, quên MK OTP, ProtectedRoute, RoleGuard, bộ chọn kho đang làm việc, đổi theme sáng/tối</t>
  </si>
  <si>
    <t xml:space="preserve">API Auth</t>
  </si>
  <si>
    <t xml:space="preserve">Màn Auth</t>
  </si>
  <si>
    <t xml:space="preserve">T29</t>
  </si>
  <si>
    <t xml:space="preserve">Màn Sản phẩm (danh sách, form, mở rộng tồn theo kho), Nhóm SP, NCC, Khách hàng</t>
  </si>
  <si>
    <t xml:space="preserve">Màn Danh mục</t>
  </si>
  <si>
    <t xml:space="preserve">T30</t>
  </si>
  <si>
    <t xml:space="preserve">Demo Sprint 2, retro, release v0.2.0</t>
  </si>
  <si>
    <t xml:space="preserve">Tag v0.2.0</t>
  </si>
  <si>
    <t xml:space="preserve">T31</t>
  </si>
  <si>
    <t xml:space="preserve">Sprint 3</t>
  </si>
  <si>
    <t xml:space="preserve">Phiếu xuất: CRUD, kiểm tồn khả dụng, gợi ý kho khác, tách phiếu theo kho, xác nhận/xuất (commit tồn), hủy, in PDF</t>
  </si>
  <si>
    <t xml:space="preserve">API Export slips</t>
  </si>
  <si>
    <t xml:space="preserve">T32</t>
  </si>
  <si>
    <t xml:space="preserve">Giữ hàng (hold): tạo/nhả/gia hạn, hiển thị ai giữ cho ai, cron tự nhả khi hết hạn</t>
  </si>
  <si>
    <t xml:space="preserve">API Holds</t>
  </si>
  <si>
    <t xml:space="preserve">T33</t>
  </si>
  <si>
    <t xml:space="preserve">Phiếu chuyển kho: 8 trạng thái, gửi duyệt giữ hàng, duyệt/từ chối, xuất (IN_TRANSIT), nhận (khớp serial, nhận một phần), biên bản sai lệch + 3 cách xử lý, bỏ qua duyệt theo ngưỡng, in biên bản</t>
  </si>
  <si>
    <t xml:space="preserve">Holds</t>
  </si>
  <si>
    <t xml:space="preserve">API Transfers</t>
  </si>
  <si>
    <t xml:space="preserve">T34</t>
  </si>
  <si>
    <t xml:space="preserve">Thanh toán &amp; công nợ: ghi nhận thanh toán, trừ tiền cọc, danh sách công nợ, quá hạn 30 ngày; tra cứu bảo hành theo serial/mã SP</t>
  </si>
  <si>
    <t xml:space="preserve">Export slips</t>
  </si>
  <si>
    <t xml:space="preserve">API Payments/Debts</t>
  </si>
  <si>
    <t xml:space="preserve">T35</t>
  </si>
  <si>
    <t xml:space="preserve">Cảnh báo: cron + event (tồn dưới ngưỡng, sắp hết hạn thuê/mượn, phiếu chờ duyệt lâu, chuyển kho quá hạn/sai lệch, giữ hàng sắp hết hạn, công nợ quá hạn) theo phạm vi kho</t>
  </si>
  <si>
    <t xml:space="preserve">Notifications</t>
  </si>
  <si>
    <t xml:space="preserve">Cảnh báo realtime</t>
  </si>
  <si>
    <t xml:space="preserve">T36</t>
  </si>
  <si>
    <t xml:space="preserve">Read model báo cáo: consumer fact_sales, fact_stock_movements; job snapshot tồn cuối ngày</t>
  </si>
  <si>
    <t xml:space="preserve">Events</t>
  </si>
  <si>
    <t xml:space="preserve">report_db có dữ liệu</t>
  </si>
  <si>
    <t xml:space="preserve">T37</t>
  </si>
  <si>
    <t xml:space="preserve">Danh mục kho (+tab người dùng được gán), Người dùng &amp; phân quyền, Cấu hình</t>
  </si>
  <si>
    <t xml:space="preserve">Màn Admin</t>
  </si>
  <si>
    <t xml:space="preserve">T38</t>
  </si>
  <si>
    <t xml:space="preserve">Phiếu nhập: danh sách/lọc, form (chọn kho nhận, NCC, bảng SP, quét serial, tổng tiền), chi tiết, xác nhận, in</t>
  </si>
  <si>
    <t xml:space="preserve">Màn Nhập kho</t>
  </si>
  <si>
    <t xml:space="preserve">T39</t>
  </si>
  <si>
    <t xml:space="preserve">Phiếu xuất: form kiểm tồn realtime, bảng 'Tồn ở kho khác' + Tách phiếu/Tạo phiếu chuyển, trạng thái, in; màn Giữ hàng</t>
  </si>
  <si>
    <t xml:space="preserve">API Export, Holds</t>
  </si>
  <si>
    <t xml:space="preserve">Màn Xuất kho</t>
  </si>
  <si>
    <t xml:space="preserve">T40</t>
  </si>
  <si>
    <t xml:space="preserve">Demo Sprint 3, retro, release v0.3.0</t>
  </si>
  <si>
    <t xml:space="preserve">Tag v0.3.0</t>
  </si>
  <si>
    <t xml:space="preserve">T41</t>
  </si>
  <si>
    <t xml:space="preserve">Sprint 4</t>
  </si>
  <si>
    <t xml:space="preserve">Cho thuê / cho mượn: tạo phiếu, trả hàng (một phần, tại kho khác), tính phạt quá hạn ≥10 ngày, trừ cọc</t>
  </si>
  <si>
    <t xml:space="preserve">API Rentals</t>
  </si>
  <si>
    <t xml:space="preserve">T42</t>
  </si>
  <si>
    <t xml:space="preserve">Đổi/trả hàng: báo giá phí theo bảng 3.8, nhập kho nhận trả, xuất hàng đổi, hoàn tiền</t>
  </si>
  <si>
    <t xml:space="preserve">API Sales returns</t>
  </si>
  <si>
    <t xml:space="preserve">T43</t>
  </si>
  <si>
    <t xml:space="preserve">Kiểm kê: lập phiếu theo kho (snapshot), khóa giao dịch, nhập số đếm/quét serial, duyệt → phiếu điều chỉnh</t>
  </si>
  <si>
    <t xml:space="preserve">API Stocktakes</t>
  </si>
  <si>
    <t xml:space="preserve">T44</t>
  </si>
  <si>
    <t xml:space="preserve">Kiểm thử</t>
  </si>
  <si>
    <t xml:space="preserve">Integration test 10 kịch bản SRS 8.5 (đa kho) + test phân quyền kho gọi API trực tiếp</t>
  </si>
  <si>
    <t xml:space="preserve">Tất cả API</t>
  </si>
  <si>
    <t xml:space="preserve">Báo cáo test</t>
  </si>
  <si>
    <t xml:space="preserve">T45</t>
  </si>
  <si>
    <t xml:space="preserve">API báo cáo: tồn kho (theo thời điểm, 6 cột tồn), nhập/xuất, doanh thu theo ngày/tuần/tháng/quý/năm × SP/KH/NV/kho, cho thuê, công nợ, so sánh đa kho, lịch sử chuyển kho; Dashboard</t>
  </si>
  <si>
    <t xml:space="preserve">Read model</t>
  </si>
  <si>
    <t xml:space="preserve">API Reports</t>
  </si>
  <si>
    <t xml:space="preserve">T46</t>
  </si>
  <si>
    <t xml:space="preserve">Xuất file Excel (ExcelJS) / PDF (PDFKit) qua export job; backup mysqldump tự động hằng ngày + thủ công; API audit log</t>
  </si>
  <si>
    <t xml:space="preserve">Export + Backup</t>
  </si>
  <si>
    <t xml:space="preserve">T47</t>
  </si>
  <si>
    <t xml:space="preserve">Chuyển kho: tab Chuyển đi/Chuyển đến, form, màn nhận hàng (SL gửi/nhận/tình trạng), xử lý sai lệch, nút theo trạng thái; Thuê/mượn + trả</t>
  </si>
  <si>
    <t xml:space="preserve">API Transfers, Rentals</t>
  </si>
  <si>
    <t xml:space="preserve">Màn Chuyển kho, Thuê/mượn</t>
  </si>
  <si>
    <t xml:space="preserve">T48</t>
  </si>
  <si>
    <t xml:space="preserve">Dashboard (biểu đồ, thẻ hàng đang chuyển đến, cảnh báo), Báo cáo (6 tab, bộ lọc kho, xuất file), Thông báo realtime, Đổi trả, Kiểm kê</t>
  </si>
  <si>
    <t xml:space="preserve">API Reports, Stocktakes</t>
  </si>
  <si>
    <t xml:space="preserve">Màn Báo cáo, Kiểm kê</t>
  </si>
  <si>
    <t xml:space="preserve">T49</t>
  </si>
  <si>
    <t xml:space="preserve">Hỗ trợ FE: màn Nhật ký thao tác + Backup (admin)</t>
  </si>
  <si>
    <t xml:space="preserve">P2</t>
  </si>
  <si>
    <t xml:space="preserve">API Audit</t>
  </si>
  <si>
    <t xml:space="preserve">Màn Admin phụ</t>
  </si>
  <si>
    <t xml:space="preserve">T50</t>
  </si>
  <si>
    <t xml:space="preserve">Demo Sprint 4, code freeze 20/12, release v0.4.0</t>
  </si>
  <si>
    <t xml:space="preserve">Tag v0.4.0</t>
  </si>
  <si>
    <t xml:space="preserve">T51</t>
  </si>
  <si>
    <t xml:space="preserve">Bàn giao</t>
  </si>
  <si>
    <t xml:space="preserve">UAT theo tiêu chí SRS mục 8 (chức năng, hiệu năng ≤500ms p95, bảo mật), fix bug Critical/High</t>
  </si>
  <si>
    <t xml:space="preserve">Code freeze</t>
  </si>
  <si>
    <t xml:space="preserve">Biên bản UAT</t>
  </si>
  <si>
    <t xml:space="preserve">T52</t>
  </si>
  <si>
    <t xml:space="preserve">Deploy demo (VPS/Render + docker compose), seed dữ liệu demo 3 kho, HTTPS</t>
  </si>
  <si>
    <t xml:space="preserve">URL demo</t>
  </si>
  <si>
    <t xml:space="preserve">T53</t>
  </si>
  <si>
    <t xml:space="preserve">Rà responsive, dark mode, đối chiếu Figma ↔ code, tối ưu tải trang ≤2,5s</t>
  </si>
  <si>
    <t xml:space="preserve">UI hoàn thiện</t>
  </si>
  <si>
    <t xml:space="preserve">T54</t>
  </si>
  <si>
    <t xml:space="preserve">Tài liệu</t>
  </si>
  <si>
    <t xml:space="preserve">README, hướng dẫn cài đặt, OpenAPI cuối, báo cáo đồ án, slide, video demo; release v1.0.0</t>
  </si>
  <si>
    <t xml:space="preserve">Bộ tài liệu bàn giao</t>
  </si>
  <si>
    <t xml:space="preserve">TỔNG HỢP KHỐI LƯỢNG THEO NGƯỜI &amp; TUẦN</t>
  </si>
  <si>
    <t xml:space="preserve">Tự tính từ sheet 'Kế hoạch &amp; Chia việc'. Giờ của task trải nhiều tuần được chia đều cho các tuần. Việc 'Cả nhóm' tính cho mỗi người.</t>
  </si>
  <si>
    <t xml:space="preserve">W1</t>
  </si>
  <si>
    <t xml:space="preserve">W2</t>
  </si>
  <si>
    <t xml:space="preserve">W3</t>
  </si>
  <si>
    <t xml:space="preserve">W4</t>
  </si>
  <si>
    <t xml:space="preserve">W5</t>
  </si>
  <si>
    <t xml:space="preserve">W6</t>
  </si>
  <si>
    <t xml:space="preserve">W7</t>
  </si>
  <si>
    <t xml:space="preserve">W8</t>
  </si>
  <si>
    <t xml:space="preserve">W9</t>
  </si>
  <si>
    <t xml:space="preserve">Tổng giờ</t>
  </si>
  <si>
    <t xml:space="preserve">Số task</t>
  </si>
  <si>
    <t xml:space="preserve">Hoàn thành</t>
  </si>
  <si>
    <t xml:space="preserve">% hoàn thành</t>
  </si>
  <si>
    <t xml:space="preserve">Tổng nhóm</t>
  </si>
  <si>
    <t xml:space="preserve">Ghi chú: khối lượng mục tiêu ~18–25 giờ/người/tuần (sinh viên vừa học vừa làm). Tuần vượt 25 giờ nên dời bớt task hoặc nhờ người khác hỗ trợ.</t>
  </si>
  <si>
    <t xml:space="preserve">API DO NHẬT THỰC HIỆN (76 endpoint)</t>
  </si>
  <si>
    <t xml:space="preserve">Phạm vi: gateway · auth-service · catalog-service · report-service · thanh toán/công nợ/bảo hành (order-service). Sắp theo tuần. Gọi qua gateway http://localhost:8080. /internal/* chỉ gọi giữa các service (header X-Internal-Key). Header X-Warehouse-Id = kho đang làm việc.</t>
  </si>
  <si>
    <t xml:space="preserve">#</t>
  </si>
  <si>
    <t xml:space="preserve">Service</t>
  </si>
  <si>
    <t xml:space="preserve">Module</t>
  </si>
  <si>
    <t xml:space="preserve">Method</t>
  </si>
  <si>
    <t xml:space="preserve">Endpoint</t>
  </si>
  <si>
    <t xml:space="preserve">Mô tả</t>
  </si>
  <si>
    <t xml:space="preserve">Vai trò được gọi</t>
  </si>
  <si>
    <t xml:space="preserve">Tuần</t>
  </si>
  <si>
    <t xml:space="preserve">Ghi chú</t>
  </si>
  <si>
    <t xml:space="preserve">auth-service</t>
  </si>
  <si>
    <t xml:space="preserve">POST</t>
  </si>
  <si>
    <t xml:space="preserve">/api/v1/auth/login</t>
  </si>
  <si>
    <t xml:space="preserve">Đăng nhập username/email + mật khẩu; trả access + refresh token, kho mặc định, danh sách kho được gán; khóa 5 phút sau 5 lần sai</t>
  </si>
  <si>
    <t xml:space="preserve">Public</t>
  </si>
  <si>
    <t xml:space="preserve">3.1.1</t>
  </si>
  <si>
    <t xml:space="preserve">Chưa làm</t>
  </si>
  <si>
    <t xml:space="preserve">/api/v1/auth/refresh</t>
  </si>
  <si>
    <t xml:space="preserve">Cấp lại access token từ refresh token (rotate)</t>
  </si>
  <si>
    <t xml:space="preserve">/api/v1/auth/logout</t>
  </si>
  <si>
    <t xml:space="preserve">Thu hồi refresh token</t>
  </si>
  <si>
    <t xml:space="preserve">ALL</t>
  </si>
  <si>
    <t xml:space="preserve">GET</t>
  </si>
  <si>
    <t xml:space="preserve">/api/v1/auth/me</t>
  </si>
  <si>
    <t xml:space="preserve">Thông tin user hiện tại, vai trò, quyền, kho được gán</t>
  </si>
  <si>
    <t xml:space="preserve">Health</t>
  </si>
  <si>
    <t xml:space="preserve">/health</t>
  </si>
  <si>
    <t xml:space="preserve">Health check</t>
  </si>
  <si>
    <t xml:space="preserve">Internal</t>
  </si>
  <si>
    <t xml:space="preserve">/internal/users/:id/scope</t>
  </si>
  <si>
    <t xml:space="preserve">Phạm vi kho + quyền của user (cho service khác)</t>
  </si>
  <si>
    <t xml:space="preserve">PUT</t>
  </si>
  <si>
    <t xml:space="preserve">/api/v1/auth/me/default-warehouse</t>
  </si>
  <si>
    <t xml:space="preserve">Đổi kho mặc định / kho đang làm việc</t>
  </si>
  <si>
    <t xml:space="preserve">/api/v1/auth/forgot-password</t>
  </si>
  <si>
    <t xml:space="preserve">Gửi OTP về email</t>
  </si>
  <si>
    <t xml:space="preserve">/api/v1/auth/verify-otp</t>
  </si>
  <si>
    <t xml:space="preserve">Xác thực OTP, trả reset token</t>
  </si>
  <si>
    <t xml:space="preserve">/api/v1/auth/reset-password</t>
  </si>
  <si>
    <t xml:space="preserve">Đặt lại mật khẩu bằng reset token</t>
  </si>
  <si>
    <t xml:space="preserve">/api/v1/auth/change-password</t>
  </si>
  <si>
    <t xml:space="preserve">Đổi mật khẩu (cần mật khẩu cũ)</t>
  </si>
  <si>
    <t xml:space="preserve">Roles</t>
  </si>
  <si>
    <t xml:space="preserve">/api/v1/roles</t>
  </si>
  <si>
    <t xml:space="preserve">Danh sách vai trò &amp; quyền</t>
  </si>
  <si>
    <t xml:space="preserve">ADMIN</t>
  </si>
  <si>
    <t xml:space="preserve">Settings</t>
  </si>
  <si>
    <t xml:space="preserve">/api/v1/settings</t>
  </si>
  <si>
    <t xml:space="preserve">Đọc cấu hình hệ thống (số ngày giữ hàng, ngưỡng duyệt chuyển kho...)</t>
  </si>
  <si>
    <t xml:space="preserve">ADMIN, MANAGER</t>
  </si>
  <si>
    <t xml:space="preserve">Cập nhật cấu hình</t>
  </si>
  <si>
    <t xml:space="preserve">Users</t>
  </si>
  <si>
    <t xml:space="preserve">/api/v1/users</t>
  </si>
  <si>
    <t xml:space="preserve">Danh sách người dùng (lọc vai trò, kho, trạng thái, tìm kiếm, phân trang)</t>
  </si>
  <si>
    <t xml:space="preserve">3.1.2</t>
  </si>
  <si>
    <t xml:space="preserve">Tạo người dùng</t>
  </si>
  <si>
    <t xml:space="preserve">/api/v1/users/:id</t>
  </si>
  <si>
    <t xml:space="preserve">Chi tiết người dùng + kho được gán</t>
  </si>
  <si>
    <t xml:space="preserve">Cập nhật thông tin, vai trò</t>
  </si>
  <si>
    <t xml:space="preserve">PATCH</t>
  </si>
  <si>
    <t xml:space="preserve">/api/v1/users/:id/status</t>
  </si>
  <si>
    <t xml:space="preserve">Vô hiệu hóa / kích hoạt, mở khóa</t>
  </si>
  <si>
    <t xml:space="preserve">/api/v1/users/:id/warehouses</t>
  </si>
  <si>
    <t xml:space="preserve">Gán danh sách kho + quyền ghi + kho mặc định</t>
  </si>
  <si>
    <t xml:space="preserve">3.10.3</t>
  </si>
  <si>
    <t xml:space="preserve">/api/v1/users/:id/reset-password</t>
  </si>
  <si>
    <t xml:space="preserve">Admin đặt lại mật khẩu</t>
  </si>
  <si>
    <t xml:space="preserve">/api/v1/users/stats/access</t>
  </si>
  <si>
    <t xml:space="preserve">Lượng truy cập theo tháng (từ login_histories)</t>
  </si>
  <si>
    <t xml:space="preserve">catalog-service</t>
  </si>
  <si>
    <t xml:space="preserve">Nhóm SP</t>
  </si>
  <si>
    <t xml:space="preserve">/api/v1/product-groups</t>
  </si>
  <si>
    <t xml:space="preserve">Danh sách nhóm sản phẩm (kèm số SP)</t>
  </si>
  <si>
    <t xml:space="preserve">6.1.2</t>
  </si>
  <si>
    <t xml:space="preserve">Tạo nhóm sản phẩm</t>
  </si>
  <si>
    <t xml:space="preserve">/api/v1/product-groups/:id</t>
  </si>
  <si>
    <t xml:space="preserve">Sửa nhóm sản phẩm</t>
  </si>
  <si>
    <t xml:space="preserve">DELETE</t>
  </si>
  <si>
    <t xml:space="preserve">Xóa mềm nhóm sản phẩm (chặn nếu còn SP)</t>
  </si>
  <si>
    <t xml:space="preserve">Sản phẩm</t>
  </si>
  <si>
    <t xml:space="preserve">/api/v1/products</t>
  </si>
  <si>
    <t xml:space="preserve">Danh sách SP: tìm kiếm, lọc nhóm/giá/serial, sắp xếp, phân trang; ?includeStock=true gọi inventory lấy tồn</t>
  </si>
  <si>
    <t xml:space="preserve">3.2.1</t>
  </si>
  <si>
    <t xml:space="preserve">Tạo sản phẩm</t>
  </si>
  <si>
    <t xml:space="preserve">ADMIN, MANAGER, STOREKEEPER</t>
  </si>
  <si>
    <t xml:space="preserve">/api/v1/products/:id</t>
  </si>
  <si>
    <t xml:space="preserve">Chi tiết sản phẩm</t>
  </si>
  <si>
    <t xml:space="preserve">Sửa sản phẩm</t>
  </si>
  <si>
    <t xml:space="preserve">Xóa mềm sản phẩm</t>
  </si>
  <si>
    <t xml:space="preserve">/internal/products/batch</t>
  </si>
  <si>
    <t xml:space="preserve">Lấy nhiều SP theo danh sách ID (snapshot cho chứng từ)</t>
  </si>
  <si>
    <t xml:space="preserve">/internal/partners/batch</t>
  </si>
  <si>
    <t xml:space="preserve">Lấy NCC/KH theo danh sách ID</t>
  </si>
  <si>
    <t xml:space="preserve">Khách hàng</t>
  </si>
  <si>
    <t xml:space="preserve">/api/v1/customers</t>
  </si>
  <si>
    <t xml:space="preserve">Danh sách khách hàng (tìm theo tên/SĐT/MST)</t>
  </si>
  <si>
    <t xml:space="preserve">6.1.4</t>
  </si>
  <si>
    <t xml:space="preserve">Tạo khách hàng</t>
  </si>
  <si>
    <t xml:space="preserve">/api/v1/customers/:id</t>
  </si>
  <si>
    <t xml:space="preserve">Chi tiết khách hàng</t>
  </si>
  <si>
    <t xml:space="preserve">Sửa khách hàng</t>
  </si>
  <si>
    <t xml:space="preserve">ADMIN, MANAGER, SALES, ACCOUNTANT</t>
  </si>
  <si>
    <t xml:space="preserve">Xóa mềm khách hàng</t>
  </si>
  <si>
    <t xml:space="preserve">Nhà cung cấp</t>
  </si>
  <si>
    <t xml:space="preserve">/api/v1/suppliers</t>
  </si>
  <si>
    <t xml:space="preserve">Danh sách NCC (tìm, sắp xếp, phân trang)</t>
  </si>
  <si>
    <t xml:space="preserve">ADMIN, MANAGER, ACCOUNTANT, STOREKEEPER</t>
  </si>
  <si>
    <t xml:space="preserve">3.3.2</t>
  </si>
  <si>
    <t xml:space="preserve">Tạo NCC (mã hóa số tài khoản)</t>
  </si>
  <si>
    <t xml:space="preserve">ADMIN, MANAGER, ACCOUNTANT</t>
  </si>
  <si>
    <t xml:space="preserve">/api/v1/suppliers/:id</t>
  </si>
  <si>
    <t xml:space="preserve">Chi tiết NCC</t>
  </si>
  <si>
    <t xml:space="preserve">Sửa NCC</t>
  </si>
  <si>
    <t xml:space="preserve">Xóa mềm NCC</t>
  </si>
  <si>
    <t xml:space="preserve">/api/v1/products/:id/image</t>
  </si>
  <si>
    <t xml:space="preserve">Upload ảnh sản phẩm (multer)</t>
  </si>
  <si>
    <t xml:space="preserve">/api/v1/products/export</t>
  </si>
  <si>
    <t xml:space="preserve">Xuất danh sách SP ra .xlsx</t>
  </si>
  <si>
    <t xml:space="preserve">Phase 1</t>
  </si>
  <si>
    <t xml:space="preserve">/api/v1/products/import</t>
  </si>
  <si>
    <t xml:space="preserve">Nhập SP từ file .xlsx</t>
  </si>
  <si>
    <t xml:space="preserve">report-service</t>
  </si>
  <si>
    <t xml:space="preserve">Thông báo</t>
  </si>
  <si>
    <t xml:space="preserve">/api/v1/notifications</t>
  </si>
  <si>
    <t xml:space="preserve">Danh sách cảnh báo của user (theo kho được gán)</t>
  </si>
  <si>
    <t xml:space="preserve">3.9</t>
  </si>
  <si>
    <t xml:space="preserve">/api/v1/notifications/unread-count</t>
  </si>
  <si>
    <t xml:space="preserve">Số cảnh báo chưa đọc (chuông)</t>
  </si>
  <si>
    <t xml:space="preserve">7.1.2</t>
  </si>
  <si>
    <t xml:space="preserve">/api/v1/notifications/:id/read</t>
  </si>
  <si>
    <t xml:space="preserve">Đánh dấu đã đọc</t>
  </si>
  <si>
    <t xml:space="preserve">/api/v1/notifications/read-all</t>
  </si>
  <si>
    <t xml:space="preserve">Đánh dấu tất cả đã đọc</t>
  </si>
  <si>
    <t xml:space="preserve">WS</t>
  </si>
  <si>
    <t xml:space="preserve">WS /socket.io  (event: notification:new)</t>
  </si>
  <si>
    <t xml:space="preserve">Đẩy cảnh báo realtime qua gateway</t>
  </si>
  <si>
    <t xml:space="preserve">/internal/users/by-warehouse/:warehouseId</t>
  </si>
  <si>
    <t xml:space="preserve">User thuộc kho (để gửi cảnh báo)</t>
  </si>
  <si>
    <t xml:space="preserve">order-service</t>
  </si>
  <si>
    <t xml:space="preserve">Bảo hành</t>
  </si>
  <si>
    <t xml:space="preserve">/api/v1/warranty/lookup</t>
  </si>
  <si>
    <t xml:space="preserve">Tra bảo hành theo serial hoặc mã SP: phiếu bán, hạn BH, kho xuất, kho hiện tại</t>
  </si>
  <si>
    <t xml:space="preserve">2.3.12</t>
  </si>
  <si>
    <t xml:space="preserve">Công nợ</t>
  </si>
  <si>
    <t xml:space="preserve">/api/v1/debts/customers</t>
  </si>
  <si>
    <t xml:space="preserve">Công nợ theo khách hàng (bán + thuê chưa thu, đã trừ cọc)</t>
  </si>
  <si>
    <t xml:space="preserve">ACCOUNTANT, MANAGER</t>
  </si>
  <si>
    <t xml:space="preserve">3.7.4</t>
  </si>
  <si>
    <t xml:space="preserve">/api/v1/debts/overdue</t>
  </si>
  <si>
    <t xml:space="preserve">Khách nợ quá hạn ≥30 ngày</t>
  </si>
  <si>
    <t xml:space="preserve">/api/v1/debts/suppliers</t>
  </si>
  <si>
    <t xml:space="preserve">Công nợ phải trả NCC</t>
  </si>
  <si>
    <t xml:space="preserve">Thanh toán</t>
  </si>
  <si>
    <t xml:space="preserve">/api/v1/payments</t>
  </si>
  <si>
    <t xml:space="preserve">Ghi nhận thanh toán / hoàn tiền / trừ cọc cho chứng từ</t>
  </si>
  <si>
    <t xml:space="preserve">ACCOUNTANT, MANAGER, SALES</t>
  </si>
  <si>
    <t xml:space="preserve">Lịch sử thanh toán (?refType&amp;refId, ngày)</t>
  </si>
  <si>
    <t xml:space="preserve">/api/v1/notifications/:id/resolve</t>
  </si>
  <si>
    <t xml:space="preserve">Đánh dấu đã xử lý</t>
  </si>
  <si>
    <t xml:space="preserve">Báo cáo</t>
  </si>
  <si>
    <t xml:space="preserve">/api/v1/reports/inventory</t>
  </si>
  <si>
    <t xml:space="preserve">Tồn kho theo thời điểm: kho/nhóm/SP; 6 cột tồn</t>
  </si>
  <si>
    <t xml:space="preserve">3.7.1</t>
  </si>
  <si>
    <t xml:space="preserve">/api/v1/reports/import-export</t>
  </si>
  <si>
    <t xml:space="preserve">Nhập/xuất theo NCC/KH/SP/kho (không tính chuyển kho nội bộ)</t>
  </si>
  <si>
    <t xml:space="preserve">3.7.2</t>
  </si>
  <si>
    <t xml:space="preserve">/api/v1/reports/revenue</t>
  </si>
  <si>
    <t xml:space="preserve">Doanh thu ?period=day|week|month|quarter|year&amp;by=total|product|customer|employee|warehouse</t>
  </si>
  <si>
    <t xml:space="preserve">2.3.9–11, 8.5#10</t>
  </si>
  <si>
    <t xml:space="preserve">/api/v1/reports/profit</t>
  </si>
  <si>
    <t xml:space="preserve">Lợi nhuận = doanh thu − giá vốn</t>
  </si>
  <si>
    <t xml:space="preserve">7.1.7</t>
  </si>
  <si>
    <t xml:space="preserve">/api/v1/reports/rentals</t>
  </si>
  <si>
    <t xml:space="preserve">Hàng đang thuê/mượn, tiền thuê đã thu, trạng thái đã trả/chưa trả/quá hạn</t>
  </si>
  <si>
    <t xml:space="preserve">3.7.3</t>
  </si>
  <si>
    <t xml:space="preserve">/api/v1/reports/debts</t>
  </si>
  <si>
    <t xml:space="preserve">Báo cáo công nợ</t>
  </si>
  <si>
    <t xml:space="preserve">/api/v1/reports/warehouses/compare</t>
  </si>
  <si>
    <t xml:space="preserve">So sánh tồn, giá trị tồn, doanh thu giữa các kho</t>
  </si>
  <si>
    <t xml:space="preserve">3.7.5</t>
  </si>
  <si>
    <t xml:space="preserve">/api/v1/reports/transfers</t>
  </si>
  <si>
    <t xml:space="preserve">Lịch sử điều chuyển, hàng đang trên đường, phiếu sai lệch</t>
  </si>
  <si>
    <t xml:space="preserve">Dashboard</t>
  </si>
  <si>
    <t xml:space="preserve">/api/v1/dashboard</t>
  </si>
  <si>
    <t xml:space="preserve">Tổng tồn, doanh thu hôm nay, biểu đồ nhập/xuất 7 ngày, hàng đang chuyển đến, phiếu chờ duyệt, cảnh báo (theo kho/toàn hệ thống)</t>
  </si>
  <si>
    <t xml:space="preserve">7.1.3</t>
  </si>
  <si>
    <t xml:space="preserve">Backup</t>
  </si>
  <si>
    <t xml:space="preserve">/api/v1/admin/backups</t>
  </si>
  <si>
    <t xml:space="preserve">Lịch sử backup</t>
  </si>
  <si>
    <t xml:space="preserve">4.2</t>
  </si>
  <si>
    <t xml:space="preserve">Backup thủ công (mysqldump 5 database)</t>
  </si>
  <si>
    <t xml:space="preserve">8.2</t>
  </si>
  <si>
    <t xml:space="preserve">Nhật ký</t>
  </si>
  <si>
    <t xml:space="preserve">/api/v1/audit-logs</t>
  </si>
  <si>
    <t xml:space="preserve">Tra cứu nhật ký: ai, thao tác gì, tại kho nào, khi nào</t>
  </si>
  <si>
    <t xml:space="preserve">Xuất file</t>
  </si>
  <si>
    <t xml:space="preserve">/api/v1/reports/exports</t>
  </si>
  <si>
    <t xml:space="preserve">Tạo job xuất báo cáo .xlsx/.pdf</t>
  </si>
  <si>
    <t xml:space="preserve">3.7</t>
  </si>
  <si>
    <t xml:space="preserve">/api/v1/reports/exports/:jobId</t>
  </si>
  <si>
    <t xml:space="preserve">Trạng thái job + link tải</t>
  </si>
  <si>
    <t xml:space="preserve">/api/v1/reports/exports/:jobId/download</t>
  </si>
  <si>
    <t xml:space="preserve">Tải file</t>
  </si>
  <si>
    <t xml:space="preserve">API DO QUÂN THỰC HIỆN (81 endpoint)</t>
  </si>
  <si>
    <t xml:space="preserve">Phạm vi: inventory-service · order-service (nhập, xuất, thuê/mượn, đổi trả, chuyển kho). Sắp theo tuần. Gọi qua gateway http://localhost:8080. /internal/* chỉ gọi giữa các service (header X-Internal-Key). Header X-Warehouse-Id = kho đang làm việc.</t>
  </si>
  <si>
    <t xml:space="preserve">inventory-service</t>
  </si>
  <si>
    <t xml:space="preserve">Kho</t>
  </si>
  <si>
    <t xml:space="preserve">/api/v1/warehouses</t>
  </si>
  <si>
    <t xml:space="preserve">Danh sách kho (lọc loại, trạng thái; kèm tổng tồn, giá trị tồn)</t>
  </si>
  <si>
    <t xml:space="preserve">3.10.1</t>
  </si>
  <si>
    <t xml:space="preserve">Tạo kho (mã kho duy nhất)</t>
  </si>
  <si>
    <t xml:space="preserve">UC-006</t>
  </si>
  <si>
    <t xml:space="preserve">/api/v1/warehouses/:id</t>
  </si>
  <si>
    <t xml:space="preserve">Chi tiết kho</t>
  </si>
  <si>
    <t xml:space="preserve">Sửa thông tin kho, thủ kho phụ trách, màu nhận diện</t>
  </si>
  <si>
    <t xml:space="preserve">/api/v1/warehouses/:id/close-check</t>
  </si>
  <si>
    <t xml:space="preserve">Kiểm tra điều kiện ngừng hoạt động (tồn, phiếu dở dang) – trả danh sách cần xử lý</t>
  </si>
  <si>
    <t xml:space="preserve">/api/v1/warehouses/:id/status</t>
  </si>
  <si>
    <t xml:space="preserve">Đổi trạng thái ACTIVE/SUSPENDED/CLOSED</t>
  </si>
  <si>
    <t xml:space="preserve">8.5#8</t>
  </si>
  <si>
    <t xml:space="preserve">/api/v1/warehouses/:id/default</t>
  </si>
  <si>
    <t xml:space="preserve">Đặt kho mặc định hệ thống</t>
  </si>
  <si>
    <t xml:space="preserve">Ngưỡng tồn</t>
  </si>
  <si>
    <t xml:space="preserve">/api/v1/warehouses/:id/min-stock</t>
  </si>
  <si>
    <t xml:space="preserve">Ngưỡng tồn tối thiểu theo SP tại kho</t>
  </si>
  <si>
    <t xml:space="preserve">3.10.4</t>
  </si>
  <si>
    <t xml:space="preserve">Đặt ngưỡng tồn (bulk)</t>
  </si>
  <si>
    <t xml:space="preserve">/internal/stock/check</t>
  </si>
  <si>
    <t xml:space="preserve">Kiểm tồn khả dụng nhiều dòng + gợi ý kho khác</t>
  </si>
  <si>
    <t xml:space="preserve">3.4.1</t>
  </si>
  <si>
    <t xml:space="preserve">/internal/stock/receive</t>
  </si>
  <si>
    <t xml:space="preserve">Cộng tồn khi nhập/nhận trả (tạo stock_items cho serial)</t>
  </si>
  <si>
    <t xml:space="preserve">3.3.1</t>
  </si>
  <si>
    <t xml:space="preserve">/internal/stock/reserve</t>
  </si>
  <si>
    <t xml:space="preserve">Giữ hàng cho chứng từ (export/transfer/rental)</t>
  </si>
  <si>
    <t xml:space="preserve">/internal/stock/commit</t>
  </si>
  <si>
    <t xml:space="preserve">Trừ tồn thực theo hold (xuất, cho thuê, chuyển đi)</t>
  </si>
  <si>
    <t xml:space="preserve">3.10.7</t>
  </si>
  <si>
    <t xml:space="preserve">/internal/stock/release</t>
  </si>
  <si>
    <t xml:space="preserve">Nhả hold khi hủy/từ chối</t>
  </si>
  <si>
    <t xml:space="preserve">/internal/stock/reverse</t>
  </si>
  <si>
    <t xml:space="preserve">Ánh xạ ngược tồn khi sửa/hủy phiếu nhập</t>
  </si>
  <si>
    <t xml:space="preserve">Tồn kho</t>
  </si>
  <si>
    <t xml:space="preserve">/api/v1/stock</t>
  </si>
  <si>
    <t xml:space="preserve">Tồn theo (SP, kho): on_hand, hold, available, in_transit, rented, damaged; lọc kho/nhóm/dưới ngưỡng</t>
  </si>
  <si>
    <t xml:space="preserve">/api/v1/stock/products/:productId</t>
  </si>
  <si>
    <t xml:space="preserve">Tồn 1 SP ở tất cả kho (≤1s)</t>
  </si>
  <si>
    <t xml:space="preserve">4.1</t>
  </si>
  <si>
    <t xml:space="preserve">/api/v1/stock/serials/:serial</t>
  </si>
  <si>
    <t xml:space="preserve">Tra cứu serial: kho hiện tại / đang chuyển / đang thuê / đã bán</t>
  </si>
  <si>
    <t xml:space="preserve">/api/v1/stock/items</t>
  </si>
  <si>
    <t xml:space="preserve">Danh sách đơn vị có serial theo kho/SP/trạng thái</t>
  </si>
  <si>
    <t xml:space="preserve">/api/v1/stock/low</t>
  </si>
  <si>
    <t xml:space="preserve">Danh sách SP dưới ngưỡng theo kho và toàn hệ thống</t>
  </si>
  <si>
    <t xml:space="preserve">/api/v1/stock/movements</t>
  </si>
  <si>
    <t xml:space="preserve">Nhật ký biến động tồn (lọc kho, SP, loại, thời gian)</t>
  </si>
  <si>
    <t xml:space="preserve">Phiếu nhập</t>
  </si>
  <si>
    <t xml:space="preserve">/api/v1/goods-receipts</t>
  </si>
  <si>
    <t xml:space="preserve">Danh sách phiếu nhập (lọc kho, NCC, trạng thái, ngày)</t>
  </si>
  <si>
    <t xml:space="preserve">3.3</t>
  </si>
  <si>
    <t xml:space="preserve">Tạo phiếu nhập nháp (kho nhận bắt buộc, kiểm quyền kho)</t>
  </si>
  <si>
    <t xml:space="preserve">STOREKEEPER, MANAGER</t>
  </si>
  <si>
    <t xml:space="preserve">UC-001</t>
  </si>
  <si>
    <t xml:space="preserve">/api/v1/goods-receipts/:id</t>
  </si>
  <si>
    <t xml:space="preserve">Chi tiết phiếu nhập</t>
  </si>
  <si>
    <t xml:space="preserve">Sửa phiếu (ánh xạ ngược tồn nếu đã xác nhận)</t>
  </si>
  <si>
    <t xml:space="preserve">/api/v1/goods-receipts/:id/confirm</t>
  </si>
  <si>
    <t xml:space="preserve">Xác nhận → cộng tồn kho nhận, phát receipt.confirmed</t>
  </si>
  <si>
    <t xml:space="preserve">8.5#1</t>
  </si>
  <si>
    <t xml:space="preserve">/api/v1/goods-receipts/:id/cancel</t>
  </si>
  <si>
    <t xml:space="preserve">Hủy phiếu</t>
  </si>
  <si>
    <t xml:space="preserve">/api/v1/goods-receipts/:id/pdf</t>
  </si>
  <si>
    <t xml:space="preserve">In phiếu nhập PDF</t>
  </si>
  <si>
    <t xml:space="preserve">Giữ hàng</t>
  </si>
  <si>
    <t xml:space="preserve">/api/v1/holds</t>
  </si>
  <si>
    <t xml:space="preserve">Danh sách giữ hàng (ai giữ, cho khách nào, đến khi nào)</t>
  </si>
  <si>
    <t xml:space="preserve">3.4.2</t>
  </si>
  <si>
    <t xml:space="preserve">Giữ hàng tại kho cho khách (trừ tồn khả dụng)</t>
  </si>
  <si>
    <t xml:space="preserve">SALES, STOREKEEPER, MANAGER</t>
  </si>
  <si>
    <t xml:space="preserve">/api/v1/holds/:id/extend</t>
  </si>
  <si>
    <t xml:space="preserve">Gia hạn giữ hàng</t>
  </si>
  <si>
    <t xml:space="preserve">SALES, MANAGER</t>
  </si>
  <si>
    <t xml:space="preserve">/api/v1/holds/:id</t>
  </si>
  <si>
    <t xml:space="preserve">Nhả hàng đang giữ</t>
  </si>
  <si>
    <t xml:space="preserve">/api/v1/stock/damaged</t>
  </si>
  <si>
    <t xml:space="preserve">Đánh dấu hàng hư hỏng tại kho (chuyển sang qty_damaged)</t>
  </si>
  <si>
    <t xml:space="preserve">2.3.6</t>
  </si>
  <si>
    <t xml:space="preserve">Phiếu xuất</t>
  </si>
  <si>
    <t xml:space="preserve">/api/v1/export-slips</t>
  </si>
  <si>
    <t xml:space="preserve">Danh sách phiếu xuất (lọc kho, KH, trạng thái, loại, ngày)</t>
  </si>
  <si>
    <t xml:space="preserve">3.4</t>
  </si>
  <si>
    <t xml:space="preserve">/api/v1/export-slips/check-availability</t>
  </si>
  <si>
    <t xml:space="preserve">Kiểm tồn khả dụng kho xuất + tồn các kho khác</t>
  </si>
  <si>
    <t xml:space="preserve">UC-002 4a</t>
  </si>
  <si>
    <t xml:space="preserve">Tạo phiếu xuất (giữ hàng tại kho xuất)</t>
  </si>
  <si>
    <t xml:space="preserve">STOREKEEPER, MANAGER, SALES</t>
  </si>
  <si>
    <t xml:space="preserve">UC-002</t>
  </si>
  <si>
    <t xml:space="preserve">/api/v1/export-slips/:id</t>
  </si>
  <si>
    <t xml:space="preserve">Chi tiết phiếu xuất</t>
  </si>
  <si>
    <t xml:space="preserve">Sửa khi chưa Đã xuất</t>
  </si>
  <si>
    <t xml:space="preserve">/api/v1/export-slips/:id/split</t>
  </si>
  <si>
    <t xml:space="preserve">Tách phiếu theo kho khi thiếu hàng</t>
  </si>
  <si>
    <t xml:space="preserve">/api/v1/export-slips/:id/confirm</t>
  </si>
  <si>
    <t xml:space="preserve">Chờ xác nhận → Đã xác nhận</t>
  </si>
  <si>
    <t xml:space="preserve">/api/v1/export-slips/:id/export</t>
  </si>
  <si>
    <t xml:space="preserve">Đã xuất: trừ tồn kho xuất, ghi serial + bảo hành, phát export.exported</t>
  </si>
  <si>
    <t xml:space="preserve">STOREKEEPER</t>
  </si>
  <si>
    <t xml:space="preserve">8.5#2</t>
  </si>
  <si>
    <t xml:space="preserve">/api/v1/export-slips/:id/cancel</t>
  </si>
  <si>
    <t xml:space="preserve">Hủy, nhả hàng giữ</t>
  </si>
  <si>
    <t xml:space="preserve">/api/v1/export-slips/:id/pdf</t>
  </si>
  <si>
    <t xml:space="preserve">In phiếu xuất (tên + địa chỉ kho)</t>
  </si>
  <si>
    <t xml:space="preserve">/internal/stock/transfer-in</t>
  </si>
  <si>
    <t xml:space="preserve">Cộng tồn kho đích theo SL nhận, xử lý sai lệch</t>
  </si>
  <si>
    <t xml:space="preserve">3.10.5</t>
  </si>
  <si>
    <t xml:space="preserve">Chuyển kho</t>
  </si>
  <si>
    <t xml:space="preserve">/api/v1/transfers</t>
  </si>
  <si>
    <t xml:space="preserve">Danh sách phiếu chuyển (?direction=out|in, trạng thái, kho, ngày; đánh dấu quá hạn)</t>
  </si>
  <si>
    <t xml:space="preserve">7.1.9</t>
  </si>
  <si>
    <t xml:space="preserve">Tạo phiếu nháp (kho nguồn ≠ kho đích)</t>
  </si>
  <si>
    <t xml:space="preserve">UC-004</t>
  </si>
  <si>
    <t xml:space="preserve">/api/v1/transfers/:id</t>
  </si>
  <si>
    <t xml:space="preserve">Chi tiết phiếu chuyển</t>
  </si>
  <si>
    <t xml:space="preserve">Sửa phiếu nháp</t>
  </si>
  <si>
    <t xml:space="preserve">/api/v1/transfers/:id/submit</t>
  </si>
  <si>
    <t xml:space="preserve">Gửi duyệt → giữ hàng kho nguồn (bỏ qua duyệt nếu dưới ngưỡng)</t>
  </si>
  <si>
    <t xml:space="preserve">/api/v1/transfers/:id/approve</t>
  </si>
  <si>
    <t xml:space="preserve">Duyệt</t>
  </si>
  <si>
    <t xml:space="preserve">MANAGER</t>
  </si>
  <si>
    <t xml:space="preserve">/api/v1/transfers/:id/reject</t>
  </si>
  <si>
    <t xml:space="preserve">Từ chối → về Nháp, nhả hàng</t>
  </si>
  <si>
    <t xml:space="preserve">/api/v1/transfers/:id/ship</t>
  </si>
  <si>
    <t xml:space="preserve">Xác nhận xuất → IN_TRANSIT, trừ tồn kho nguồn</t>
  </si>
  <si>
    <t xml:space="preserve">8.5#3</t>
  </si>
  <si>
    <t xml:space="preserve">/api/v1/transfers/:id/receive</t>
  </si>
  <si>
    <t xml:space="preserve">Xác nhận nhận (SL, serial, tình trạng) → RECEIVED / DISCREPANCY</t>
  </si>
  <si>
    <t xml:space="preserve">UC-005, 8.5#4</t>
  </si>
  <si>
    <t xml:space="preserve">/api/v1/transfers/:id/discrepancies/:dId/resolve</t>
  </si>
  <si>
    <t xml:space="preserve">Xử lý sai lệch: gửi bổ sung / mất-hỏng / hoàn kho nguồn</t>
  </si>
  <si>
    <t xml:space="preserve">/api/v1/transfers/:id/complete</t>
  </si>
  <si>
    <t xml:space="preserve">Đóng phiếu</t>
  </si>
  <si>
    <t xml:space="preserve">/api/v1/transfers/:id/cancel</t>
  </si>
  <si>
    <t xml:space="preserve">Hủy (chỉ trước IN_TRANSIT)</t>
  </si>
  <si>
    <t xml:space="preserve">8.5#9</t>
  </si>
  <si>
    <t xml:space="preserve">/api/v1/transfers/:id/pdf</t>
  </si>
  <si>
    <t xml:space="preserve">In biên bản bàn giao nội bộ</t>
  </si>
  <si>
    <t xml:space="preserve">Thuê/Mượn</t>
  </si>
  <si>
    <t xml:space="preserve">/api/v1/rentals</t>
  </si>
  <si>
    <t xml:space="preserve">Danh sách phiếu thuê/mượn (?type=RENT|LOAN, trạng thái, quá hạn)</t>
  </si>
  <si>
    <t xml:space="preserve">3.5</t>
  </si>
  <si>
    <t xml:space="preserve">Tạo phiếu thuê/mượn (trừ tồn khả dụng kho xuất)</t>
  </si>
  <si>
    <t xml:space="preserve">3.5.1</t>
  </si>
  <si>
    <t xml:space="preserve">/api/v1/rentals/:id</t>
  </si>
  <si>
    <t xml:space="preserve">Chi tiết + lịch sử trả</t>
  </si>
  <si>
    <t xml:space="preserve">Sửa / gia hạn</t>
  </si>
  <si>
    <t xml:space="preserve">/api/v1/rentals/:id/returns</t>
  </si>
  <si>
    <t xml:space="preserve">Trả hàng (một phần, tại kho bất kỳ), tính phạt ≥10 ngày, trừ cọc</t>
  </si>
  <si>
    <t xml:space="preserve">8.5#7</t>
  </si>
  <si>
    <t xml:space="preserve">/api/v1/rentals/due-soon</t>
  </si>
  <si>
    <t xml:space="preserve">Phiếu sắp hết hạn (≤7 ngày) / quá hạn</t>
  </si>
  <si>
    <t xml:space="preserve">/api/v1/rentals/:id/cancel</t>
  </si>
  <si>
    <t xml:space="preserve">Hủy phiếu chưa xuất</t>
  </si>
  <si>
    <t xml:space="preserve">Đổi trả</t>
  </si>
  <si>
    <t xml:space="preserve">/api/v1/sales-returns/quote</t>
  </si>
  <si>
    <t xml:space="preserve">Tính phí đổi/trả theo bảng 3.8 (ngày, loại đổi)</t>
  </si>
  <si>
    <t xml:space="preserve">3.8</t>
  </si>
  <si>
    <t xml:space="preserve">/api/v1/sales-returns</t>
  </si>
  <si>
    <t xml:space="preserve">Tạo phiếu đổi/trả (kho nhận trả bất kỳ)</t>
  </si>
  <si>
    <t xml:space="preserve">STOREKEEPER, SALES, MANAGER</t>
  </si>
  <si>
    <t xml:space="preserve">Danh sách phiếu đổi trả</t>
  </si>
  <si>
    <t xml:space="preserve">/api/v1/sales-returns/:id</t>
  </si>
  <si>
    <t xml:space="preserve">Chi tiết phiếu đổi trả</t>
  </si>
  <si>
    <t xml:space="preserve">/api/v1/sales-returns/:id/complete</t>
  </si>
  <si>
    <t xml:space="preserve">Hoàn tất: nhập hàng trả, xuất hàng đổi, hoàn tiền</t>
  </si>
  <si>
    <t xml:space="preserve">Kiểm kê</t>
  </si>
  <si>
    <t xml:space="preserve">/api/v1/stocktakes</t>
  </si>
  <si>
    <t xml:space="preserve">Danh sách phiếu kiểm kê</t>
  </si>
  <si>
    <t xml:space="preserve">3.6</t>
  </si>
  <si>
    <t xml:space="preserve">Lập phiếu kiểm kê cho kho (snapshot tồn, tùy chọn khóa giao dịch)</t>
  </si>
  <si>
    <t xml:space="preserve">3.6.1</t>
  </si>
  <si>
    <t xml:space="preserve">/api/v1/stocktakes/:id</t>
  </si>
  <si>
    <t xml:space="preserve">Chi tiết phiếu + chênh lệch</t>
  </si>
  <si>
    <t xml:space="preserve">/api/v1/stocktakes/:id/items</t>
  </si>
  <si>
    <t xml:space="preserve">Nhập số lượng thực tế / serial quét được</t>
  </si>
  <si>
    <t xml:space="preserve">/api/v1/stocktakes/:id/submit</t>
  </si>
  <si>
    <t xml:space="preserve">Gửi duyệt</t>
  </si>
  <si>
    <t xml:space="preserve">/api/v1/stocktakes/:id/approve</t>
  </si>
  <si>
    <t xml:space="preserve">Duyệt → tạo điều chỉnh tồn, mở khóa kho</t>
  </si>
  <si>
    <t xml:space="preserve">/api/v1/stocktakes/:id/cancel</t>
  </si>
  <si>
    <t xml:space="preserve">Hủy phiếu, mở khóa kho</t>
  </si>
  <si>
    <t xml:space="preserve">Vị trí (stretch)</t>
  </si>
  <si>
    <t xml:space="preserve">/api/v1/warehouses/:id/locations</t>
  </si>
  <si>
    <t xml:space="preserve">Danh sách vị trí Khu-Kệ-Ô</t>
  </si>
  <si>
    <t xml:space="preserve">3.10.2</t>
  </si>
  <si>
    <t xml:space="preserve">Tạo vị trí</t>
  </si>
  <si>
    <t xml:space="preserve">ADMIN, STOREKEEPER</t>
  </si>
  <si>
    <t xml:space="preserve">/api/v1/stock/items/:id/location</t>
  </si>
  <si>
    <t xml:space="preserve">Chuyển vị trí trong cùng kho (ghi nhật ký)</t>
  </si>
  <si>
    <t xml:space="preserve">API NGHĨA TÍCH HỢP Ở FRONTEND (141 endpoint)</t>
  </si>
  <si>
    <t xml:space="preserve">Không gồm /internal và /health. Tuần tích hợp = tuần backend xong + 1 (trước đó dùng mock MSW theo OpenAPI). Ghi màn hình sử dụng ở cột 'Màn hình'.</t>
  </si>
  <si>
    <t xml:space="preserve">Backend làm</t>
  </si>
  <si>
    <t xml:space="preserve">Tuần BE xong</t>
  </si>
  <si>
    <t xml:space="preserve">Tuần tích hợp</t>
  </si>
  <si>
    <t xml:space="preserve">Màn hình</t>
  </si>
  <si>
    <t xml:space="preserve">Chưa tích hợp</t>
  </si>
  <si>
    <t xml:space="preserve">TỔNG HỢP API THEO NGƯỜI</t>
  </si>
  <si>
    <t xml:space="preserve">Tự đếm từ các sheet API - Nhật / API - Quân / API - Nghĩa (FE).</t>
  </si>
  <si>
    <t xml:space="preserve">Sheet</t>
  </si>
  <si>
    <t xml:space="preserve">Số endpoint</t>
  </si>
  <si>
    <t xml:space="preserve">API - Nhật</t>
  </si>
  <si>
    <t xml:space="preserve">API - Quân</t>
  </si>
  <si>
    <t xml:space="preserve">API - Nghĩa (FE)</t>
  </si>
  <si>
    <t xml:space="preserve">Endpoint backend theo service</t>
  </si>
  <si>
    <t xml:space="preserve">Tổng</t>
  </si>
  <si>
    <t xml:space="preserve">Quy trình: backend đổi trạng thái sang 'Xong BE' khi merge vào develop, 'Đã test' khi có test. Nghĩa đổi sang 'Đã tích hợp' khi màn hình gọi API thật thay cho mock.</t>
  </si>
  <si>
    <t xml:space="preserve">DATABASE THEO MICROSERVICE</t>
  </si>
  <si>
    <t xml:space="preserve">DDL đầy đủ: database/schema.sql · ERD: diagrams/02→06-erd-*.png. Không có khóa ngoại chéo database; chỉ lưu ID + snapshot.</t>
  </si>
  <si>
    <t xml:space="preserve">Bảng</t>
  </si>
  <si>
    <t xml:space="preserve">Mục đích</t>
  </si>
  <si>
    <t xml:space="preserve">Đối chiếu SRS TigerNet v1.1</t>
  </si>
  <si>
    <t xml:space="preserve">Người phụ trách</t>
  </si>
  <si>
    <t xml:space="preserve">auth_db</t>
  </si>
  <si>
    <t xml:space="preserve">roles</t>
  </si>
  <si>
    <t xml:space="preserve">Vai trò (5 vai trò SRS), cờ all_warehouses</t>
  </si>
  <si>
    <t xml:space="preserve">Users.User_Role (SRS) → bảng</t>
  </si>
  <si>
    <t xml:space="preserve">permissions / role_permissions</t>
  </si>
  <si>
    <t xml:space="preserve">Quyền chi tiết theo vai trò</t>
  </si>
  <si>
    <t xml:space="preserve">Mới</t>
  </si>
  <si>
    <t xml:space="preserve">users</t>
  </si>
  <si>
    <t xml:space="preserve">Tài khoản, mật khẩu bcrypt, khóa đăng nhập, kho mặc định</t>
  </si>
  <si>
    <t xml:space="preserve">Users (SRS 6.1.1)</t>
  </si>
  <si>
    <t xml:space="preserve">user_warehouses</t>
  </si>
  <si>
    <t xml:space="preserve">Gán kho cho người dùng + quyền ghi</t>
  </si>
  <si>
    <t xml:space="preserve">User_Warehouses (6.1.10)</t>
  </si>
  <si>
    <t xml:space="preserve">refresh_tokens</t>
  </si>
  <si>
    <t xml:space="preserve">Refresh token đã băm, thu hồi</t>
  </si>
  <si>
    <t xml:space="preserve">password_otps</t>
  </si>
  <si>
    <t xml:space="preserve">OTP quên mật khẩu</t>
  </si>
  <si>
    <t xml:space="preserve">Mới (3.1.1)</t>
  </si>
  <si>
    <t xml:space="preserve">login_histories</t>
  </si>
  <si>
    <t xml:space="preserve">Lịch sử đăng nhập, thống kê truy cập</t>
  </si>
  <si>
    <t xml:space="preserve">Mới (3.1.2)</t>
  </si>
  <si>
    <t xml:space="preserve">system_settings</t>
  </si>
  <si>
    <t xml:space="preserve">Cấu hình: số ngày giữ hàng, ngưỡng duyệt, ngày cảnh báo...</t>
  </si>
  <si>
    <t xml:space="preserve">catalog_db</t>
  </si>
  <si>
    <t xml:space="preserve">product_groups</t>
  </si>
  <si>
    <t xml:space="preserve">Nhóm sản phẩm</t>
  </si>
  <si>
    <t xml:space="preserve">Product_Groups (6.1.2)</t>
  </si>
  <si>
    <t xml:space="preserve">products</t>
  </si>
  <si>
    <t xml:space="preserve">Sản phẩm: mã, tên, ĐVT, giá, serial, bảo hành, ngưỡng chung</t>
  </si>
  <si>
    <t xml:space="preserve">Products (6.1.3)</t>
  </si>
  <si>
    <t xml:space="preserve">suppliers</t>
  </si>
  <si>
    <t xml:space="preserve">Nhà cung cấp, STK mã hóa</t>
  </si>
  <si>
    <t xml:space="preserve">Suppliers (6.1.5)</t>
  </si>
  <si>
    <t xml:space="preserve">customers</t>
  </si>
  <si>
    <t xml:space="preserve">Khách hàng (lẻ/doanh nghiệp), CCCD mã hóa</t>
  </si>
  <si>
    <t xml:space="preserve">Customers (6.1.4)</t>
  </si>
  <si>
    <t xml:space="preserve">inventory_db</t>
  </si>
  <si>
    <t xml:space="preserve">warehouses</t>
  </si>
  <si>
    <t xml:space="preserve">Danh mục kho đa địa điểm, trạng thái, khóa kiểm kê</t>
  </si>
  <si>
    <t xml:space="preserve">Warehouses (6.1.9)</t>
  </si>
  <si>
    <t xml:space="preserve">warehouse_locations</t>
  </si>
  <si>
    <t xml:space="preserve">Vị trí Khu-Kệ-Ô (stretch)</t>
  </si>
  <si>
    <t xml:space="preserve">Warehouse_Locations (6.1.11)</t>
  </si>
  <si>
    <t xml:space="preserve">product_warehouse_settings</t>
  </si>
  <si>
    <t xml:space="preserve">Ngưỡng tồn theo (SP, kho)</t>
  </si>
  <si>
    <t xml:space="preserve">Product_Warehouse_Settings (6.1.12)</t>
  </si>
  <si>
    <t xml:space="preserve">stock_balances</t>
  </si>
  <si>
    <t xml:space="preserve">Tồn theo (SP, kho): thực, giữ, hỏng, đang đến, đang thuê; version</t>
  </si>
  <si>
    <t xml:space="preserve">Tách từ Inventory + View_Stock_By_Warehouse</t>
  </si>
  <si>
    <t xml:space="preserve">stock_items</t>
  </si>
  <si>
    <t xml:space="preserve">Từng đơn vị có serial, trạng thái, giá vốn</t>
  </si>
  <si>
    <t xml:space="preserve">Tách từ Inventory (6.1.13)</t>
  </si>
  <si>
    <t xml:space="preserve">stock_holds</t>
  </si>
  <si>
    <t xml:space="preserve">Giữ hàng cho khách/chứng từ, hạn giữ</t>
  </si>
  <si>
    <t xml:space="preserve">Thay Hold_By/Hold_Until</t>
  </si>
  <si>
    <t xml:space="preserve">stock_movements</t>
  </si>
  <si>
    <t xml:space="preserve">Nhật ký biến động tồn (trước/sau)</t>
  </si>
  <si>
    <t xml:space="preserve">Stock_Movements (6.1.16)</t>
  </si>
  <si>
    <t xml:space="preserve">stocktakes / stocktake_items</t>
  </si>
  <si>
    <t xml:space="preserve">Phiếu kiểm kê + chi tiết, chênh lệch tự tính</t>
  </si>
  <si>
    <t xml:space="preserve">Mới (3.6)</t>
  </si>
  <si>
    <t xml:space="preserve">processed_requests</t>
  </si>
  <si>
    <t xml:space="preserve">Idempotency cho API nội bộ</t>
  </si>
  <si>
    <t xml:space="preserve">order_db</t>
  </si>
  <si>
    <t xml:space="preserve">doc_sequences</t>
  </si>
  <si>
    <t xml:space="preserve">Sinh mã chứng từ PNK/PXK/PCK... theo năm</t>
  </si>
  <si>
    <t xml:space="preserve">goods_receipts / _items</t>
  </si>
  <si>
    <t xml:space="preserve">Phiếu nhập kho + chi tiết + serial</t>
  </si>
  <si>
    <t xml:space="preserve">Tách từ Inventory (phần nhập)</t>
  </si>
  <si>
    <t xml:space="preserve">export_slips / _items</t>
  </si>
  <si>
    <t xml:space="preserve">Phiếu xuất/bán + chi tiết, bảo hành, giá vốn</t>
  </si>
  <si>
    <t xml:space="preserve">Tách từ Inventory (phần xuất)</t>
  </si>
  <si>
    <t xml:space="preserve">rental_contracts / rental_items</t>
  </si>
  <si>
    <t xml:space="preserve">Phiếu cho thuê / cho mượn</t>
  </si>
  <si>
    <t xml:space="preserve">Mới (3.5)</t>
  </si>
  <si>
    <t xml:space="preserve">rental_returns / _items</t>
  </si>
  <si>
    <t xml:space="preserve">Phiếu trả hàng thuê/mượn, kho nhận trả, phạt</t>
  </si>
  <si>
    <t xml:space="preserve">sales_returns / _items</t>
  </si>
  <si>
    <t xml:space="preserve">Đổi/trả hàng đã bán, phí theo chính sách</t>
  </si>
  <si>
    <t xml:space="preserve">Mới (3.8)</t>
  </si>
  <si>
    <t xml:space="preserve">stock_transfers / _items</t>
  </si>
  <si>
    <t xml:space="preserve">Phiếu chuyển kho 8 trạng thái + chi tiết</t>
  </si>
  <si>
    <t xml:space="preserve">Stock_Transfers (6.1.14–15)</t>
  </si>
  <si>
    <t xml:space="preserve">transfer_discrepancies</t>
  </si>
  <si>
    <t xml:space="preserve">Biên bản sai lệch khi nhận chuyển kho</t>
  </si>
  <si>
    <t xml:space="preserve">Mới (3.10.5)</t>
  </si>
  <si>
    <t xml:space="preserve">payments</t>
  </si>
  <si>
    <t xml:space="preserve">Thanh toán / hoàn tiền / trừ cọc</t>
  </si>
  <si>
    <t xml:space="preserve">Thay Paid/Remain trên Inventory</t>
  </si>
  <si>
    <t xml:space="preserve">outbox_events</t>
  </si>
  <si>
    <t xml:space="preserve">Event chờ đẩy lên RabbitMQ</t>
  </si>
  <si>
    <t xml:space="preserve">report_db</t>
  </si>
  <si>
    <t xml:space="preserve">notifications</t>
  </si>
  <si>
    <t xml:space="preserve">Cảnh báo theo user/kho</t>
  </si>
  <si>
    <t xml:space="preserve">Mới (3.9)</t>
  </si>
  <si>
    <t xml:space="preserve">audit_logs</t>
  </si>
  <si>
    <t xml:space="preserve">Nhật ký thao tác toàn hệ thống</t>
  </si>
  <si>
    <t xml:space="preserve">Mới (4.2)</t>
  </si>
  <si>
    <t xml:space="preserve">fact_sales</t>
  </si>
  <si>
    <t xml:space="preserve">Read model doanh thu/giá vốn</t>
  </si>
  <si>
    <t xml:space="preserve">Thay View_Inventory_Summary</t>
  </si>
  <si>
    <t xml:space="preserve">fact_stock_movements</t>
  </si>
  <si>
    <t xml:space="preserve">Read model nhập/xuất/chuyển theo ngày</t>
  </si>
  <si>
    <t xml:space="preserve">stock_snapshots</t>
  </si>
  <si>
    <t xml:space="preserve">Tồn cuối ngày để xem theo thời điểm</t>
  </si>
  <si>
    <t xml:space="preserve">Mới (3.7.1)</t>
  </si>
  <si>
    <t xml:space="preserve">export_jobs</t>
  </si>
  <si>
    <t xml:space="preserve">Job xuất Excel/PDF</t>
  </si>
  <si>
    <t xml:space="preserve">backup_logs</t>
  </si>
  <si>
    <t xml:space="preserve">Mới (4.2, 8.2)</t>
  </si>
  <si>
    <t xml:space="preserve">processed_events</t>
  </si>
  <si>
    <t xml:space="preserve">Chống xử lý event trùng</t>
  </si>
  <si>
    <t xml:space="preserve">THIẾT KẾ FIGMA UX/UI (Nghĩa phụ trách)</t>
  </si>
  <si>
    <t xml:space="preserve">Mỗi màn: bản desktop 1440 + trạng thái (trống, lỗi, loading). Dán link frame Figma vào cột 'Link Figma'. Figma hi-fi hoàn tất trước hết W4.</t>
  </si>
  <si>
    <t xml:space="preserve">Nhóm</t>
  </si>
  <si>
    <t xml:space="preserve">Màn hình / Hạng mục</t>
  </si>
  <si>
    <t xml:space="preserve">Vai trò dùng</t>
  </si>
  <si>
    <t xml:space="preserve">Tuần thiết kế</t>
  </si>
  <si>
    <t xml:space="preserve">Tuần code</t>
  </si>
  <si>
    <t xml:space="preserve">Link Figma</t>
  </si>
  <si>
    <t xml:space="preserve">Trạng thái Figma</t>
  </si>
  <si>
    <t xml:space="preserve">Trạng thái code</t>
  </si>
  <si>
    <t xml:space="preserve">Nền tảng</t>
  </si>
  <si>
    <t xml:space="preserve">Sitemap + User flow 5 vai trò</t>
  </si>
  <si>
    <t xml:space="preserve">Tất cả</t>
  </si>
  <si>
    <t xml:space="preserve">—</t>
  </si>
  <si>
    <t xml:space="preserve">Wireframe low-fi toàn bộ</t>
  </si>
  <si>
    <t xml:space="preserve">Design system: color, type, spacing, icon, component, light/dark, màu kho</t>
  </si>
  <si>
    <t xml:space="preserve">Xác thực</t>
  </si>
  <si>
    <t xml:space="preserve">Đăng nhập</t>
  </si>
  <si>
    <t xml:space="preserve">Quên mật khẩu (email → OTP → mật khẩu mới)</t>
  </si>
  <si>
    <t xml:space="preserve">Layout</t>
  </si>
  <si>
    <t xml:space="preserve">Header (chọn kho đang làm việc, chuông cảnh báo, tài khoản) + Sidebar theo vai trò</t>
  </si>
  <si>
    <t xml:space="preserve">Dashboard (thẻ số liệu, biểu đồ nhập/xuất, hàng đang chuyển đến, cảnh báo)</t>
  </si>
  <si>
    <t xml:space="preserve">Danh mục</t>
  </si>
  <si>
    <t xml:space="preserve">Sản phẩm: danh sách (mở rộng tồn theo kho), form, chi tiết</t>
  </si>
  <si>
    <t xml:space="preserve">Admin, Quản lý</t>
  </si>
  <si>
    <t xml:space="preserve">Nhà cung cấp: danh sách, form, lịch sử nhập</t>
  </si>
  <si>
    <t xml:space="preserve">Kế toán, Quản lý</t>
  </si>
  <si>
    <t xml:space="preserve">Khách hàng: danh sách, form, công nợ</t>
  </si>
  <si>
    <t xml:space="preserve">Bán hàng, Kế toán</t>
  </si>
  <si>
    <t xml:space="preserve">Quản trị</t>
  </si>
  <si>
    <t xml:space="preserve">Danh mục kho: danh sách, form, tab người dùng được gán, ngừng hoạt động</t>
  </si>
  <si>
    <t xml:space="preserve">Admin</t>
  </si>
  <si>
    <t xml:space="preserve">Người dùng &amp; phân quyền kho</t>
  </si>
  <si>
    <t xml:space="preserve">Cấu hình hệ thống, Nhật ký thao tác, Backup</t>
  </si>
  <si>
    <t xml:space="preserve">Nghiệp vụ</t>
  </si>
  <si>
    <t xml:space="preserve">Phiếu nhập: danh sách, form (quét serial), chi tiết, in</t>
  </si>
  <si>
    <t xml:space="preserve">Thủ kho</t>
  </si>
  <si>
    <t xml:space="preserve">Phiếu xuất: form kiểm tồn realtime + bảng 'Tồn ở kho khác' (Tách phiếu / Tạo phiếu chuyển), chi tiết, in</t>
  </si>
  <si>
    <t xml:space="preserve">Thủ kho, Bán hàng</t>
  </si>
  <si>
    <t xml:space="preserve">Giữ hàng: danh sách ai giữ / cho ai / đến khi nào</t>
  </si>
  <si>
    <t xml:space="preserve">Bán hàng</t>
  </si>
  <si>
    <t xml:space="preserve">Chuyển kho: tab Chuyển đi / Chuyển đến, form, nút theo trạng thái</t>
  </si>
  <si>
    <t xml:space="preserve">Thủ kho, Quản lý</t>
  </si>
  <si>
    <t xml:space="preserve">Chuyển kho: màn nhận hàng (SL gửi/nhận/tình trạng) + xử lý sai lệch</t>
  </si>
  <si>
    <t xml:space="preserve">Cho thuê / cho mượn: danh sách, form, trả hàng (kho khác, phạt)</t>
  </si>
  <si>
    <t xml:space="preserve">Đổi / trả hàng: tra phiếu bán, báo giá phí, xác nhận</t>
  </si>
  <si>
    <t xml:space="preserve">Kiểm kê: lập phiếu, màn đếm/quét, chênh lệch, duyệt</t>
  </si>
  <si>
    <t xml:space="preserve">Thanh toán &amp; công nợ, tra cứu bảo hành</t>
  </si>
  <si>
    <t xml:space="preserve">Kế toán, Bán hàng</t>
  </si>
  <si>
    <t xml:space="preserve">Báo cáo: tab Tồn kho, Nhập/Xuất, Doanh thu, Cho thuê, Lợi nhuận, Chuyển kho, So sánh kho; bộ lọc; xuất file</t>
  </si>
  <si>
    <t xml:space="preserve">Quản lý, Kế toán</t>
  </si>
  <si>
    <t xml:space="preserve">Trung tâm thông báo</t>
  </si>
  <si>
    <t xml:space="preserve">Responsive</t>
  </si>
  <si>
    <t xml:space="preserve">Bản mobile/tablet: Đăng nhập, Dashboard, Tra tồn/serial, Nhập, Xuất, Nhận chuyển kho, Kiểm kê</t>
  </si>
  <si>
    <t xml:space="preserve">Prototype click-through luồng: nhập → xuất → chuyển kho → báo cáo</t>
  </si>
  <si>
    <t xml:space="preserve">Empty state, loading skeleton, lỗi 403/404/500, mất kết nối</t>
  </si>
  <si>
    <t xml:space="preserve">GIT WORKFLOW</t>
  </si>
  <si>
    <t xml:space="preserve">Mô hình: Git Flow rút gọn (main + develop + feature) · Conventional Commits · Squash merge · Sơ đồ: diagrams/07-git-workflow.png</t>
  </si>
  <si>
    <t xml:space="preserve">1. NHÁNH</t>
  </si>
  <si>
    <t xml:space="preserve">Nhánh</t>
  </si>
  <si>
    <t xml:space="preserve">Quy tắc</t>
  </si>
  <si>
    <t xml:space="preserve">main</t>
  </si>
  <si>
    <t xml:space="preserve">Bản ổn định để demo / bàn giao</t>
  </si>
  <si>
    <t xml:space="preserve">Chỉ nhận merge từ release/* và hotfix/*; mỗi lần merge gắn tag vX.Y.Z; cấm push trực tiếp</t>
  </si>
  <si>
    <t xml:space="preserve">develop</t>
  </si>
  <si>
    <t xml:space="preserve">Nhánh tích hợp hằng ngày</t>
  </si>
  <si>
    <t xml:space="preserve">Nhận PR từ feature/*, fix/*; CI bắt buộc xanh + ≥1 approve; cấm push trực tiếp</t>
  </si>
  <si>
    <t xml:space="preserve">feature/&lt;scope&gt;-&lt;mô-tả&gt;</t>
  </si>
  <si>
    <t xml:space="preserve">Phát triển 1 task (1 issue)</t>
  </si>
  <si>
    <t xml:space="preserve">Tạo từ develop; vd feature/inventory-stock-hold, feature/fe-export-slip; sống ≤ 3 ngày</t>
  </si>
  <si>
    <t xml:space="preserve">fix/&lt;scope&gt;-&lt;mô-tả&gt;</t>
  </si>
  <si>
    <t xml:space="preserve">Sửa lỗi trên develop</t>
  </si>
  <si>
    <t xml:space="preserve">Tạo từ develop; vd fix/order-receipt-total</t>
  </si>
  <si>
    <t xml:space="preserve">release/vX.Y</t>
  </si>
  <si>
    <t xml:space="preserve">Chốt sprint</t>
  </si>
  <si>
    <t xml:space="preserve">Tạo từ develop cuối sprint; chỉ sửa bug; merge vào main (tag) và ngược lại develop</t>
  </si>
  <si>
    <t xml:space="preserve">hotfix/&lt;mô-tả&gt;</t>
  </si>
  <si>
    <t xml:space="preserve">Sửa gấp trên main</t>
  </si>
  <si>
    <t xml:space="preserve">Tạo từ main; merge vào main (tag patch) và develop</t>
  </si>
  <si>
    <t xml:space="preserve">2. COMMIT (Conventional Commits)</t>
  </si>
  <si>
    <t xml:space="preserve">Loại</t>
  </si>
  <si>
    <t xml:space="preserve">Khi nào</t>
  </si>
  <si>
    <t xml:space="preserve">Ví dụ</t>
  </si>
  <si>
    <t xml:space="preserve">feat</t>
  </si>
  <si>
    <t xml:space="preserve">Thêm tính năng</t>
  </si>
  <si>
    <t xml:space="preserve">feat(order): tách phiếu xuất theo kho</t>
  </si>
  <si>
    <t xml:space="preserve">fix</t>
  </si>
  <si>
    <t xml:space="preserve">Sửa lỗi</t>
  </si>
  <si>
    <t xml:space="preserve">fix(inventory): không trừ tồn khi hold hết hạn</t>
  </si>
  <si>
    <t xml:space="preserve">refactor / perf</t>
  </si>
  <si>
    <t xml:space="preserve">Đổi cấu trúc / tối ưu, không đổi hành vi</t>
  </si>
  <si>
    <t xml:space="preserve">perf(report): thêm index fact_sales</t>
  </si>
  <si>
    <t xml:space="preserve">test</t>
  </si>
  <si>
    <t xml:space="preserve">Thêm/sửa test</t>
  </si>
  <si>
    <t xml:space="preserve">test(inventory): concurrent reserve same serial</t>
  </si>
  <si>
    <t xml:space="preserve">docs</t>
  </si>
  <si>
    <t xml:space="preserve">Tài liệu, OpenAPI</t>
  </si>
  <si>
    <t xml:space="preserve">docs(api): cập nhật transfers.yaml</t>
  </si>
  <si>
    <t xml:space="preserve">chore / ci / build</t>
  </si>
  <si>
    <t xml:space="preserve">Cấu hình, CI, docker, version</t>
  </si>
  <si>
    <t xml:space="preserve">ci: cache npm theo workspace</t>
  </si>
  <si>
    <t xml:space="preserve">Scope</t>
  </si>
  <si>
    <t xml:space="preserve">auth · catalog · inventory · order · report · gateway · common · fe · infra · docs</t>
  </si>
  <si>
    <t xml:space="preserve">Kiểm bằng commitlint + husky (commit-msg hook)</t>
  </si>
  <si>
    <t xml:space="preserve">3. PULL REQUEST</t>
  </si>
  <si>
    <t xml:space="preserve">Bước</t>
  </si>
  <si>
    <t xml:space="preserve">Nội dung</t>
  </si>
  <si>
    <t xml:space="preserve">1. Nhận task</t>
  </si>
  <si>
    <t xml:space="preserve">Kéo issue sang In progress, tạo nhánh từ develop mới nhất</t>
  </si>
  <si>
    <t xml:space="preserve">git switch develop &amp;&amp; git pull &amp;&amp; git switch -c feature/...</t>
  </si>
  <si>
    <t xml:space="preserve">2. Code + test</t>
  </si>
  <si>
    <t xml:space="preserve">Commit nhỏ, đúng chuẩn; chạy npm run lint &amp;&amp; npm test</t>
  </si>
  <si>
    <t xml:space="preserve">Đổi API → cập nhật OpenAPI trong cùng PR</t>
  </si>
  <si>
    <t xml:space="preserve">3. Đồng bộ</t>
  </si>
  <si>
    <t xml:space="preserve">git fetch origin &amp;&amp; git rebase origin/develop trước khi mở PR</t>
  </si>
  <si>
    <t xml:space="preserve">Chỉ rebase nhánh của mình</t>
  </si>
  <si>
    <t xml:space="preserve">4. Mở PR → develop</t>
  </si>
  <si>
    <t xml:space="preserve">Tiêu đề theo commit convention; mô tả: làm gì, cách test, ảnh màn hình (FE), 'Closes #issue'</t>
  </si>
  <si>
    <t xml:space="preserve">PR &lt; 400 dòng thay đổi</t>
  </si>
  <si>
    <t xml:space="preserve">5. Review</t>
  </si>
  <si>
    <t xml:space="preserve">Nhật ↔ Quân review chéo; PR frontend: Nhật hoặc Quân review phần gọi API; PR đổi API contract: Nghĩa phải approve</t>
  </si>
  <si>
    <t xml:space="preserve">Phản hồi review trong 24h</t>
  </si>
  <si>
    <t xml:space="preserve">6. Merge</t>
  </si>
  <si>
    <t xml:space="preserve">CI xanh + ≥1 approve → Squash and merge → xóa nhánh</t>
  </si>
  <si>
    <t xml:space="preserve">Issue tự đóng, card sang Done</t>
  </si>
  <si>
    <t xml:space="preserve">4. LỊCH RELEASE</t>
  </si>
  <si>
    <t xml:space="preserve">Tag</t>
  </si>
  <si>
    <t xml:space="preserve">Ngày</t>
  </si>
  <si>
    <t xml:space="preserve">08/11/2026</t>
  </si>
  <si>
    <t xml:space="preserve">Sprint 1 – nền tảng, đăng nhập, kho</t>
  </si>
  <si>
    <t xml:space="preserve">22/11/2026</t>
  </si>
  <si>
    <t xml:space="preserve">Sprint 2 – danh mục, người dùng, lõi tồn kho, phiếu nhập</t>
  </si>
  <si>
    <t xml:space="preserve">06/12/2026</t>
  </si>
  <si>
    <t xml:space="preserve">Sprint 3 – xuất kho, giữ hàng, chuyển kho, công nợ, cảnh báo</t>
  </si>
  <si>
    <t xml:space="preserve">20/12/2026</t>
  </si>
  <si>
    <t xml:space="preserve">Sprint 4 – thuê/mượn, đổi trả, kiểm kê, báo cáo (code freeze)</t>
  </si>
  <si>
    <t xml:space="preserve">25/12/2026</t>
  </si>
  <si>
    <t xml:space="preserve">Bàn giao đồ án</t>
  </si>
  <si>
    <t xml:space="preserve">5. CẤU HÌNH REPO</t>
  </si>
  <si>
    <t xml:space="preserve">Mục</t>
  </si>
  <si>
    <t xml:space="preserve">Thiết lập</t>
  </si>
  <si>
    <t xml:space="preserve">Branch protection</t>
  </si>
  <si>
    <t xml:space="preserve">main, develop: require PR, 1 approval, status checks (ci), no force push</t>
  </si>
  <si>
    <t xml:space="preserve">Settings → Branches</t>
  </si>
  <si>
    <t xml:space="preserve">CODEOWNERS</t>
  </si>
  <si>
    <t xml:space="preserve">services/auth-service, catalog-service, report-service, api-gateway, packages → Nhật; inventory-service, order-service, infra → Quân; frontend → Nghĩa</t>
  </si>
  <si>
    <t xml:space="preserve">Tự gán reviewer</t>
  </si>
  <si>
    <t xml:space="preserve">CI (GitHub Actions)</t>
  </si>
  <si>
    <t xml:space="preserve">Mỗi PR: npm ci → lint → test (MySQL/Redis service container) → build; chỉ chạy service bị thay đổi</t>
  </si>
  <si>
    <t xml:space="preserve">.github/workflows/ci.yml</t>
  </si>
  <si>
    <t xml:space="preserve">Bí mật</t>
  </si>
  <si>
    <t xml:space="preserve">Không commit .env; dùng .env.example; secret deploy lưu ở GitHub Secrets</t>
  </si>
  <si>
    <t xml:space="preserve">.gitignore</t>
  </si>
  <si>
    <t xml:space="preserve">GitHub Projects</t>
  </si>
  <si>
    <t xml:space="preserve">Cột Backlog → To do → In progress → Review → Done; label: service, sprint, P0/P1/P2</t>
  </si>
  <si>
    <t xml:space="preserve">Mỗi dòng sheet 'Kế hoạch &amp; Chia việc' = 1 issue</t>
  </si>
</sst>
</file>

<file path=xl/styles.xml><?xml version="1.0" encoding="utf-8"?>
<styleSheet xmlns="http://schemas.openxmlformats.org/spreadsheetml/2006/main">
  <numFmts count="4">
    <numFmt numFmtId="164" formatCode="General"/>
    <numFmt numFmtId="165" formatCode="0.0"/>
    <numFmt numFmtId="166" formatCode="0%"/>
    <numFmt numFmtId="167" formatCode="0"/>
  </numFmts>
  <fonts count="12">
    <font>
      <sz val="11"/>
      <color theme="1"/>
      <name val="Calibri"/>
      <family val="2"/>
      <charset val="1"/>
    </font>
    <font>
      <sz val="10"/>
      <name val="Arial"/>
      <family val="0"/>
    </font>
    <font>
      <sz val="10"/>
      <name val="Arial"/>
      <family val="0"/>
    </font>
    <font>
      <sz val="10"/>
      <name val="Arial"/>
      <family val="0"/>
    </font>
    <font>
      <b val="true"/>
      <sz val="14"/>
      <color rgb="FF1F4E79"/>
      <name val="Arial"/>
      <family val="0"/>
      <charset val="1"/>
    </font>
    <font>
      <i val="true"/>
      <sz val="9"/>
      <color rgb="FF595959"/>
      <name val="Arial"/>
      <family val="0"/>
      <charset val="1"/>
    </font>
    <font>
      <b val="true"/>
      <sz val="10"/>
      <name val="Arial"/>
      <family val="0"/>
      <charset val="1"/>
    </font>
    <font>
      <sz val="10"/>
      <name val="Arial"/>
      <family val="0"/>
      <charset val="1"/>
    </font>
    <font>
      <b val="true"/>
      <sz val="11"/>
      <color rgb="FF1F4E79"/>
      <name val="Arial"/>
      <family val="0"/>
      <charset val="1"/>
    </font>
    <font>
      <b val="true"/>
      <sz val="10"/>
      <color rgb="FFFFFFFF"/>
      <name val="Arial"/>
      <family val="0"/>
      <charset val="1"/>
    </font>
    <font>
      <sz val="8"/>
      <color rgb="FF808080"/>
      <name val="Arial"/>
      <family val="0"/>
      <charset val="1"/>
    </font>
    <font>
      <i val="true"/>
      <sz val="9"/>
      <name val="Arial"/>
      <family val="0"/>
      <charset val="1"/>
    </font>
  </fonts>
  <fills count="13">
    <fill>
      <patternFill patternType="none"/>
    </fill>
    <fill>
      <patternFill patternType="gray125"/>
    </fill>
    <fill>
      <patternFill patternType="solid">
        <fgColor rgb="FF1F4E79"/>
        <bgColor rgb="FF003366"/>
      </patternFill>
    </fill>
    <fill>
      <patternFill patternType="solid">
        <fgColor rgb="FF9DC3E6"/>
        <bgColor rgb="FFBFBFBF"/>
      </patternFill>
    </fill>
    <fill>
      <patternFill patternType="solid">
        <fgColor rgb="FFFFF2CC"/>
        <bgColor rgb="FFFCE4D6"/>
      </patternFill>
    </fill>
    <fill>
      <patternFill patternType="solid">
        <fgColor rgb="FFA9D18E"/>
        <bgColor rgb="FFBFBFBF"/>
      </patternFill>
    </fill>
    <fill>
      <patternFill patternType="solid">
        <fgColor rgb="FFF4B183"/>
        <bgColor rgb="FFF8CBAD"/>
      </patternFill>
    </fill>
    <fill>
      <patternFill patternType="solid">
        <fgColor rgb="FFC9C9C9"/>
        <bgColor rgb="FFBFBFBF"/>
      </patternFill>
    </fill>
    <fill>
      <patternFill patternType="solid">
        <fgColor rgb="FFDDEBF7"/>
        <bgColor rgb="FFEDEDED"/>
      </patternFill>
    </fill>
    <fill>
      <patternFill patternType="solid">
        <fgColor rgb="FFE2EFDA"/>
        <bgColor rgb="FFEDEDED"/>
      </patternFill>
    </fill>
    <fill>
      <patternFill patternType="solid">
        <fgColor rgb="FFFCE4D6"/>
        <bgColor rgb="FFFFF2CC"/>
      </patternFill>
    </fill>
    <fill>
      <patternFill patternType="solid">
        <fgColor rgb="FFF8CBAD"/>
        <bgColor rgb="FFFFC7CE"/>
      </patternFill>
    </fill>
    <fill>
      <patternFill patternType="solid">
        <fgColor rgb="FFEDEDED"/>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center" textRotation="0" wrapText="true" indent="0" shrinkToFit="false"/>
      <protection locked="true" hidden="false"/>
    </xf>
    <xf numFmtId="166" fontId="7"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5" fontId="6" fillId="0" borderId="1" xfId="0" applyFont="true" applyBorder="true" applyAlignment="true" applyProtection="false">
      <alignment horizontal="center" vertical="center" textRotation="0" wrapText="true" indent="0" shrinkToFit="false"/>
      <protection locked="true" hidden="false"/>
    </xf>
    <xf numFmtId="167" fontId="6" fillId="0" borderId="1" xfId="0" applyFont="true" applyBorder="true" applyAlignment="true" applyProtection="false">
      <alignment horizontal="center" vertical="center" textRotation="0" wrapText="true" indent="0" shrinkToFit="false"/>
      <protection locked="true" hidden="false"/>
    </xf>
    <xf numFmtId="166" fontId="6" fillId="0" borderId="1"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7" fillId="8" borderId="1" xfId="0" applyFont="true" applyBorder="true" applyAlignment="true" applyProtection="false">
      <alignment horizontal="center" vertical="center" textRotation="0" wrapText="true" indent="0" shrinkToFit="false"/>
      <protection locked="true" hidden="false"/>
    </xf>
    <xf numFmtId="164" fontId="7" fillId="9" borderId="1" xfId="0" applyFont="true" applyBorder="true" applyAlignment="true" applyProtection="false">
      <alignment horizontal="center" vertical="center" textRotation="0" wrapText="true" indent="0" shrinkToFit="false"/>
      <protection locked="true" hidden="false"/>
    </xf>
    <xf numFmtId="164" fontId="7" fillId="10" borderId="1" xfId="0" applyFont="true" applyBorder="true" applyAlignment="true" applyProtection="false">
      <alignment horizontal="center" vertical="center" textRotation="0" wrapText="true" indent="0" shrinkToFit="false"/>
      <protection locked="true" hidden="false"/>
    </xf>
    <xf numFmtId="164" fontId="7" fillId="11" borderId="1" xfId="0" applyFont="true" applyBorder="true" applyAlignment="true" applyProtection="false">
      <alignment horizontal="center" vertical="center" textRotation="0" wrapText="true" indent="0" shrinkToFit="false"/>
      <protection locked="true" hidden="false"/>
    </xf>
    <xf numFmtId="164" fontId="7" fillId="1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0">
    <dxf>
      <fill>
        <patternFill patternType="solid">
          <fgColor rgb="FF1F4E79"/>
          <bgColor rgb="FF000000"/>
        </patternFill>
      </fill>
    </dxf>
    <dxf>
      <fill>
        <patternFill patternType="solid">
          <bgColor rgb="FF000000"/>
        </patternFill>
      </fill>
    </dxf>
    <dxf>
      <fill>
        <patternFill patternType="solid">
          <fgColor rgb="FFFFFFFF"/>
          <bgColor rgb="FF000000"/>
        </patternFill>
      </fill>
    </dxf>
    <dxf>
      <fill>
        <patternFill patternType="solid">
          <fgColor rgb="FF9DC3E6"/>
          <bgColor rgb="FF000000"/>
        </patternFill>
      </fill>
    </dxf>
    <dxf>
      <fill>
        <patternFill patternType="solid">
          <fgColor rgb="FFA9D18E"/>
          <bgColor rgb="FF000000"/>
        </patternFill>
      </fill>
    </dxf>
    <dxf>
      <fill>
        <patternFill patternType="solid">
          <fgColor rgb="FFC9C9C9"/>
          <bgColor rgb="FF000000"/>
        </patternFill>
      </fill>
    </dxf>
    <dxf>
      <fill>
        <patternFill patternType="solid">
          <fgColor rgb="FFF4B183"/>
          <bgColor rgb="FF000000"/>
        </patternFill>
      </fill>
    </dxf>
    <dxf>
      <fill>
        <patternFill patternType="solid">
          <fgColor rgb="FFFFF2CC"/>
          <bgColor rgb="FF000000"/>
        </patternFill>
      </fill>
    </dxf>
    <dxf>
      <fill>
        <patternFill>
          <bgColor rgb="FF9DC3E6"/>
        </patternFill>
      </fill>
    </dxf>
    <dxf>
      <fill>
        <patternFill>
          <bgColor rgb="FFA9D18E"/>
        </patternFill>
      </fill>
    </dxf>
    <dxf>
      <fill>
        <patternFill>
          <bgColor rgb="FFF4B183"/>
        </patternFill>
      </fill>
    </dxf>
    <dxf>
      <fill>
        <patternFill>
          <bgColor rgb="FFC9C9C9"/>
        </patternFill>
      </fill>
    </dxf>
    <dxf>
      <fill>
        <patternFill>
          <bgColor rgb="FFC6EFCE"/>
        </patternFill>
      </fill>
    </dxf>
    <dxf>
      <fill>
        <patternFill>
          <bgColor rgb="FFFFEB9C"/>
        </patternFill>
      </fill>
    </dxf>
    <dxf>
      <fill>
        <patternFill>
          <bgColor rgb="FFFFC7CE"/>
        </patternFill>
      </fill>
    </dxf>
    <dxf>
      <fill>
        <patternFill patternType="solid">
          <fgColor rgb="FFDDEBF7"/>
          <bgColor rgb="FF000000"/>
        </patternFill>
      </fill>
    </dxf>
    <dxf>
      <fill>
        <patternFill patternType="solid">
          <fgColor rgb="FFE2EFDA"/>
          <bgColor rgb="FF000000"/>
        </patternFill>
      </fill>
    </dxf>
    <dxf>
      <fill>
        <patternFill patternType="solid">
          <fgColor rgb="FFEDEDED"/>
          <bgColor rgb="FF000000"/>
        </patternFill>
      </fill>
    </dxf>
    <dxf>
      <fill>
        <patternFill patternType="solid">
          <fgColor rgb="FFF8CBAD"/>
          <bgColor rgb="FF000000"/>
        </patternFill>
      </fill>
    </dxf>
    <dxf>
      <fill>
        <patternFill patternType="solid">
          <fgColor rgb="FFFCE4D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EDEDED"/>
      <rgbColor rgb="FF993366"/>
      <rgbColor rgb="FFFFF2CC"/>
      <rgbColor rgb="FFDDEBF7"/>
      <rgbColor rgb="FF660066"/>
      <rgbColor rgb="FFFF8080"/>
      <rgbColor rgb="FF0066CC"/>
      <rgbColor rgb="FFC9C9C9"/>
      <rgbColor rgb="FF000080"/>
      <rgbColor rgb="FFFF00FF"/>
      <rgbColor rgb="FFFFFF00"/>
      <rgbColor rgb="FF00FFFF"/>
      <rgbColor rgb="FF800080"/>
      <rgbColor rgb="FF800000"/>
      <rgbColor rgb="FF008080"/>
      <rgbColor rgb="FF0000FF"/>
      <rgbColor rgb="FF00CCFF"/>
      <rgbColor rgb="FFE2EFDA"/>
      <rgbColor rgb="FFC6EFCE"/>
      <rgbColor rgb="FFFFEB9C"/>
      <rgbColor rgb="FF9DC3E6"/>
      <rgbColor rgb="FFF4B183"/>
      <rgbColor rgb="FFFFC7CE"/>
      <rgbColor rgb="FFF8CBAD"/>
      <rgbColor rgb="FF3366FF"/>
      <rgbColor rgb="FF33CCCC"/>
      <rgbColor rgb="FF99CC00"/>
      <rgbColor rgb="FFFCE4D6"/>
      <rgbColor rgb="FFFF9900"/>
      <rgbColor rgb="FFFF6600"/>
      <rgbColor rgb="FF595959"/>
      <rgbColor rgb="FFA9D18E"/>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6"/>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95"/>
    <col collapsed="false" customWidth="true" hidden="false" outlineLevel="0" max="3" min="3" style="0" width="20"/>
    <col collapsed="false" customWidth="true" hidden="false" outlineLevel="0" max="4" min="4" style="0" width="70"/>
    <col collapsed="false" customWidth="true" hidden="false" outlineLevel="0" max="5" min="5" style="0" width="22"/>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t="s">
        <v>3</v>
      </c>
    </row>
    <row r="5" customFormat="false" ht="15" hidden="false" customHeight="false" outlineLevel="0" collapsed="false">
      <c r="A5" s="3" t="s">
        <v>4</v>
      </c>
      <c r="B5" s="4" t="s">
        <v>5</v>
      </c>
    </row>
    <row r="6" customFormat="false" ht="15" hidden="false" customHeight="false" outlineLevel="0" collapsed="false">
      <c r="A6" s="3" t="s">
        <v>6</v>
      </c>
      <c r="B6" s="4" t="s">
        <v>7</v>
      </c>
    </row>
    <row r="7" customFormat="false" ht="15" hidden="false" customHeight="false" outlineLevel="0" collapsed="false">
      <c r="A7" s="3" t="s">
        <v>8</v>
      </c>
      <c r="B7" s="4" t="s">
        <v>9</v>
      </c>
    </row>
    <row r="8" customFormat="false" ht="15" hidden="false" customHeight="false" outlineLevel="0" collapsed="false">
      <c r="A8" s="3" t="s">
        <v>10</v>
      </c>
      <c r="B8" s="4" t="s">
        <v>11</v>
      </c>
    </row>
    <row r="9" customFormat="false" ht="15" hidden="false" customHeight="false" outlineLevel="0" collapsed="false">
      <c r="A9" s="3" t="s">
        <v>12</v>
      </c>
      <c r="B9" s="4" t="s">
        <v>13</v>
      </c>
    </row>
    <row r="10" customFormat="false" ht="15" hidden="false" customHeight="false" outlineLevel="0" collapsed="false">
      <c r="A10" s="3" t="s">
        <v>14</v>
      </c>
      <c r="B10" s="4" t="s">
        <v>15</v>
      </c>
    </row>
    <row r="11" customFormat="false" ht="15" hidden="false" customHeight="false" outlineLevel="0" collapsed="false">
      <c r="A11" s="3" t="s">
        <v>16</v>
      </c>
      <c r="B11" s="4" t="s">
        <v>17</v>
      </c>
    </row>
    <row r="12" customFormat="false" ht="15" hidden="false" customHeight="false" outlineLevel="0" collapsed="false">
      <c r="A12" s="3" t="s">
        <v>18</v>
      </c>
      <c r="B12" s="4" t="s">
        <v>19</v>
      </c>
    </row>
    <row r="13" customFormat="false" ht="15" hidden="false" customHeight="false" outlineLevel="0" collapsed="false">
      <c r="A13" s="3" t="s">
        <v>20</v>
      </c>
      <c r="B13" s="4" t="s">
        <v>21</v>
      </c>
    </row>
    <row r="14" customFormat="false" ht="23.85" hidden="false" customHeight="false" outlineLevel="0" collapsed="false">
      <c r="A14" s="3" t="s">
        <v>22</v>
      </c>
      <c r="B14" s="4" t="s">
        <v>23</v>
      </c>
    </row>
    <row r="16" customFormat="false" ht="15" hidden="false" customHeight="false" outlineLevel="0" collapsed="false">
      <c r="A16" s="5" t="s">
        <v>24</v>
      </c>
    </row>
    <row r="17" customFormat="false" ht="15" hidden="false" customHeight="false" outlineLevel="0" collapsed="false">
      <c r="A17" s="6" t="s">
        <v>25</v>
      </c>
      <c r="B17" s="6" t="s">
        <v>26</v>
      </c>
      <c r="C17" s="6" t="s">
        <v>27</v>
      </c>
      <c r="D17" s="6" t="s">
        <v>28</v>
      </c>
      <c r="E17" s="6" t="s">
        <v>29</v>
      </c>
    </row>
    <row r="18" customFormat="false" ht="23.85" hidden="false" customHeight="false" outlineLevel="0" collapsed="false">
      <c r="A18" s="7" t="s">
        <v>30</v>
      </c>
      <c r="B18" s="8" t="s">
        <v>30</v>
      </c>
      <c r="C18" s="4" t="s">
        <v>31</v>
      </c>
      <c r="D18" s="4" t="s">
        <v>32</v>
      </c>
      <c r="E18" s="4" t="s">
        <v>33</v>
      </c>
    </row>
    <row r="19" customFormat="false" ht="23.85" hidden="false" customHeight="false" outlineLevel="0" collapsed="false">
      <c r="A19" s="9" t="s">
        <v>34</v>
      </c>
      <c r="B19" s="8" t="s">
        <v>34</v>
      </c>
      <c r="C19" s="4" t="s">
        <v>35</v>
      </c>
      <c r="D19" s="4" t="s">
        <v>36</v>
      </c>
      <c r="E19" s="4" t="s">
        <v>37</v>
      </c>
    </row>
    <row r="20" customFormat="false" ht="23.85" hidden="false" customHeight="false" outlineLevel="0" collapsed="false">
      <c r="A20" s="10" t="s">
        <v>38</v>
      </c>
      <c r="B20" s="8" t="s">
        <v>38</v>
      </c>
      <c r="C20" s="4" t="s">
        <v>39</v>
      </c>
      <c r="D20" s="4" t="s">
        <v>40</v>
      </c>
      <c r="E20" s="4" t="s">
        <v>41</v>
      </c>
    </row>
    <row r="22" customFormat="false" ht="15" hidden="false" customHeight="false" outlineLevel="0" collapsed="false">
      <c r="A22" s="5" t="s">
        <v>42</v>
      </c>
    </row>
    <row r="23" customFormat="false" ht="15" hidden="false" customHeight="false" outlineLevel="0" collapsed="false">
      <c r="A23" s="6" t="s">
        <v>43</v>
      </c>
      <c r="B23" s="6" t="s">
        <v>6</v>
      </c>
      <c r="C23" s="6" t="s">
        <v>44</v>
      </c>
      <c r="D23" s="6" t="s">
        <v>45</v>
      </c>
      <c r="E23" s="6" t="s">
        <v>46</v>
      </c>
    </row>
    <row r="24" customFormat="false" ht="68.65" hidden="false" customHeight="false" outlineLevel="0" collapsed="false">
      <c r="A24" s="4" t="s">
        <v>47</v>
      </c>
      <c r="B24" s="4" t="s">
        <v>48</v>
      </c>
      <c r="C24" s="4" t="s">
        <v>49</v>
      </c>
      <c r="D24" s="4" t="s">
        <v>50</v>
      </c>
      <c r="E24" s="4" t="s">
        <v>51</v>
      </c>
    </row>
    <row r="25" customFormat="false" ht="57.45" hidden="false" customHeight="false" outlineLevel="0" collapsed="false">
      <c r="A25" s="4" t="s">
        <v>52</v>
      </c>
      <c r="B25" s="4" t="s">
        <v>53</v>
      </c>
      <c r="C25" s="4" t="s">
        <v>54</v>
      </c>
      <c r="D25" s="4" t="s">
        <v>55</v>
      </c>
      <c r="E25" s="4" t="s">
        <v>56</v>
      </c>
    </row>
    <row r="26" customFormat="false" ht="57.45" hidden="false" customHeight="false" outlineLevel="0" collapsed="false">
      <c r="A26" s="4" t="s">
        <v>57</v>
      </c>
      <c r="B26" s="4" t="s">
        <v>58</v>
      </c>
      <c r="C26" s="4" t="s">
        <v>59</v>
      </c>
      <c r="D26" s="4" t="s">
        <v>60</v>
      </c>
      <c r="E26" s="4" t="s">
        <v>61</v>
      </c>
    </row>
    <row r="27" customFormat="false" ht="57.45" hidden="false" customHeight="false" outlineLevel="0" collapsed="false">
      <c r="A27" s="4" t="s">
        <v>62</v>
      </c>
      <c r="B27" s="4" t="s">
        <v>63</v>
      </c>
      <c r="C27" s="4" t="s">
        <v>64</v>
      </c>
      <c r="D27" s="4" t="s">
        <v>65</v>
      </c>
      <c r="E27" s="4" t="s">
        <v>66</v>
      </c>
    </row>
    <row r="28" customFormat="false" ht="35.05" hidden="false" customHeight="false" outlineLevel="0" collapsed="false">
      <c r="A28" s="4" t="s">
        <v>67</v>
      </c>
      <c r="B28" s="4" t="s">
        <v>68</v>
      </c>
      <c r="C28" s="4" t="s">
        <v>69</v>
      </c>
      <c r="D28" s="4" t="s">
        <v>70</v>
      </c>
      <c r="E28" s="4" t="s">
        <v>71</v>
      </c>
    </row>
    <row r="30" customFormat="false" ht="15" hidden="false" customHeight="false" outlineLevel="0" collapsed="false">
      <c r="A30" s="5" t="s">
        <v>72</v>
      </c>
    </row>
    <row r="31" customFormat="false" ht="15" hidden="false" customHeight="false" outlineLevel="0" collapsed="false">
      <c r="A31" s="6" t="s">
        <v>73</v>
      </c>
      <c r="B31" s="6" t="s">
        <v>74</v>
      </c>
      <c r="C31" s="6" t="s">
        <v>75</v>
      </c>
    </row>
    <row r="32" customFormat="false" ht="68.65" hidden="false" customHeight="false" outlineLevel="0" collapsed="false">
      <c r="A32" s="4" t="s">
        <v>76</v>
      </c>
      <c r="B32" s="4" t="s">
        <v>77</v>
      </c>
      <c r="C32" s="4" t="s">
        <v>78</v>
      </c>
    </row>
    <row r="33" customFormat="false" ht="57.45" hidden="false" customHeight="false" outlineLevel="0" collapsed="false">
      <c r="A33" s="4" t="s">
        <v>79</v>
      </c>
      <c r="B33" s="4" t="s">
        <v>80</v>
      </c>
      <c r="C33" s="4" t="s">
        <v>81</v>
      </c>
    </row>
    <row r="34" customFormat="false" ht="57.45" hidden="false" customHeight="false" outlineLevel="0" collapsed="false">
      <c r="A34" s="4" t="s">
        <v>82</v>
      </c>
      <c r="B34" s="4" t="s">
        <v>83</v>
      </c>
      <c r="C34" s="4" t="s">
        <v>84</v>
      </c>
    </row>
    <row r="35" customFormat="false" ht="57.45" hidden="false" customHeight="false" outlineLevel="0" collapsed="false">
      <c r="A35" s="4" t="s">
        <v>85</v>
      </c>
      <c r="B35" s="4" t="s">
        <v>86</v>
      </c>
      <c r="C35" s="4" t="s">
        <v>87</v>
      </c>
    </row>
    <row r="36" customFormat="false" ht="46.25" hidden="false" customHeight="false" outlineLevel="0" collapsed="false">
      <c r="A36" s="4" t="s">
        <v>88</v>
      </c>
      <c r="B36" s="4" t="s">
        <v>89</v>
      </c>
      <c r="C36" s="4" t="s">
        <v>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5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0"/>
    <col collapsed="false" customWidth="true" hidden="false" outlineLevel="0" max="3" min="3" style="0" width="16"/>
    <col collapsed="false" customWidth="true" hidden="false" outlineLevel="0" max="4" min="4" style="0" width="58"/>
    <col collapsed="false" customWidth="true" hidden="false" outlineLevel="0" max="5" min="5" style="0" width="9"/>
    <col collapsed="false" customWidth="true" hidden="false" outlineLevel="0" max="7" min="6" style="0" width="7"/>
    <col collapsed="false" customWidth="true" hidden="false" outlineLevel="0" max="8" min="8" style="0" width="8"/>
    <col collapsed="false" customWidth="true" hidden="false" outlineLevel="0" max="9" min="9" style="0" width="7"/>
    <col collapsed="false" customWidth="true" hidden="false" outlineLevel="0" max="10" min="10" style="0" width="10"/>
    <col collapsed="false" customWidth="true" hidden="false" outlineLevel="0" max="11" min="11" style="0" width="30"/>
    <col collapsed="false" customWidth="true" hidden="false" outlineLevel="0" max="12" min="12" style="0" width="12"/>
    <col collapsed="false" customWidth="true" hidden="false" outlineLevel="0" max="21" min="13" style="0" width="7"/>
  </cols>
  <sheetData>
    <row r="1" customFormat="false" ht="17.35" hidden="false" customHeight="false" outlineLevel="0" collapsed="false">
      <c r="A1" s="1" t="s">
        <v>91</v>
      </c>
    </row>
    <row r="2" customFormat="false" ht="15" hidden="false" customHeight="false" outlineLevel="0" collapsed="false">
      <c r="A2" s="2" t="s">
        <v>92</v>
      </c>
    </row>
    <row r="3" customFormat="false" ht="15" hidden="false" customHeight="false" outlineLevel="0" collapsed="false">
      <c r="L3" s="11" t="s">
        <v>93</v>
      </c>
      <c r="M3" s="12" t="n">
        <v>1</v>
      </c>
      <c r="N3" s="12" t="n">
        <v>2</v>
      </c>
      <c r="O3" s="12" t="n">
        <v>3</v>
      </c>
      <c r="P3" s="12" t="n">
        <v>4</v>
      </c>
      <c r="Q3" s="12" t="n">
        <v>5</v>
      </c>
      <c r="R3" s="12" t="n">
        <v>6</v>
      </c>
      <c r="S3" s="12" t="n">
        <v>7</v>
      </c>
      <c r="T3" s="12" t="n">
        <v>8</v>
      </c>
      <c r="U3" s="12" t="n">
        <v>9</v>
      </c>
    </row>
    <row r="4" customFormat="false" ht="30" hidden="false" customHeight="true" outlineLevel="0" collapsed="false">
      <c r="A4" s="6" t="s">
        <v>94</v>
      </c>
      <c r="B4" s="6" t="s">
        <v>43</v>
      </c>
      <c r="C4" s="6" t="s">
        <v>95</v>
      </c>
      <c r="D4" s="6" t="s">
        <v>96</v>
      </c>
      <c r="E4" s="6" t="s">
        <v>97</v>
      </c>
      <c r="F4" s="6" t="s">
        <v>98</v>
      </c>
      <c r="G4" s="6" t="s">
        <v>99</v>
      </c>
      <c r="H4" s="6" t="s">
        <v>100</v>
      </c>
      <c r="I4" s="6" t="s">
        <v>101</v>
      </c>
      <c r="J4" s="6" t="s">
        <v>102</v>
      </c>
      <c r="K4" s="6" t="s">
        <v>103</v>
      </c>
      <c r="L4" s="6" t="s">
        <v>104</v>
      </c>
      <c r="M4" s="6" t="s">
        <v>105</v>
      </c>
      <c r="N4" s="6" t="s">
        <v>106</v>
      </c>
      <c r="O4" s="6" t="s">
        <v>107</v>
      </c>
      <c r="P4" s="6" t="s">
        <v>108</v>
      </c>
      <c r="Q4" s="6" t="s">
        <v>109</v>
      </c>
      <c r="R4" s="6" t="s">
        <v>110</v>
      </c>
      <c r="S4" s="6" t="s">
        <v>111</v>
      </c>
      <c r="T4" s="6" t="s">
        <v>112</v>
      </c>
      <c r="U4" s="6" t="s">
        <v>113</v>
      </c>
    </row>
    <row r="5" customFormat="false" ht="23.85" hidden="false" customHeight="false" outlineLevel="0" collapsed="false">
      <c r="A5" s="13" t="s">
        <v>114</v>
      </c>
      <c r="B5" s="13" t="s">
        <v>115</v>
      </c>
      <c r="C5" s="4" t="s">
        <v>116</v>
      </c>
      <c r="D5" s="4" t="s">
        <v>117</v>
      </c>
      <c r="E5" s="14" t="s">
        <v>118</v>
      </c>
      <c r="F5" s="13" t="n">
        <v>1</v>
      </c>
      <c r="G5" s="13" t="n">
        <v>1</v>
      </c>
      <c r="H5" s="13" t="n">
        <v>4</v>
      </c>
      <c r="I5" s="13" t="s">
        <v>119</v>
      </c>
      <c r="J5" s="4"/>
      <c r="K5" s="4" t="s">
        <v>120</v>
      </c>
      <c r="L5" s="15" t="s">
        <v>121</v>
      </c>
      <c r="M5" s="16"/>
      <c r="N5" s="16"/>
      <c r="O5" s="16"/>
      <c r="P5" s="16"/>
      <c r="Q5" s="16"/>
      <c r="R5" s="16"/>
      <c r="S5" s="16"/>
      <c r="T5" s="16"/>
      <c r="U5" s="16"/>
    </row>
    <row r="6" customFormat="false" ht="23.85" hidden="false" customHeight="false" outlineLevel="0" collapsed="false">
      <c r="A6" s="13" t="s">
        <v>122</v>
      </c>
      <c r="B6" s="13" t="s">
        <v>115</v>
      </c>
      <c r="C6" s="4" t="s">
        <v>123</v>
      </c>
      <c r="D6" s="4" t="s">
        <v>124</v>
      </c>
      <c r="E6" s="7" t="s">
        <v>30</v>
      </c>
      <c r="F6" s="13" t="n">
        <v>1</v>
      </c>
      <c r="G6" s="13" t="n">
        <v>1</v>
      </c>
      <c r="H6" s="13" t="n">
        <v>6</v>
      </c>
      <c r="I6" s="13" t="s">
        <v>119</v>
      </c>
      <c r="J6" s="4"/>
      <c r="K6" s="4" t="s">
        <v>125</v>
      </c>
      <c r="L6" s="15" t="s">
        <v>121</v>
      </c>
      <c r="M6" s="16"/>
      <c r="N6" s="16"/>
      <c r="O6" s="16"/>
      <c r="P6" s="16"/>
      <c r="Q6" s="16"/>
      <c r="R6" s="16"/>
      <c r="S6" s="16"/>
      <c r="T6" s="16"/>
      <c r="U6" s="16"/>
    </row>
    <row r="7" customFormat="false" ht="23.85" hidden="false" customHeight="false" outlineLevel="0" collapsed="false">
      <c r="A7" s="13" t="s">
        <v>126</v>
      </c>
      <c r="B7" s="13" t="s">
        <v>115</v>
      </c>
      <c r="C7" s="4" t="s">
        <v>127</v>
      </c>
      <c r="D7" s="4" t="s">
        <v>128</v>
      </c>
      <c r="E7" s="9" t="s">
        <v>34</v>
      </c>
      <c r="F7" s="13" t="n">
        <v>1</v>
      </c>
      <c r="G7" s="13" t="n">
        <v>1</v>
      </c>
      <c r="H7" s="13" t="n">
        <v>10</v>
      </c>
      <c r="I7" s="13" t="s">
        <v>119</v>
      </c>
      <c r="J7" s="4"/>
      <c r="K7" s="4" t="s">
        <v>129</v>
      </c>
      <c r="L7" s="15" t="s">
        <v>121</v>
      </c>
      <c r="M7" s="16"/>
      <c r="N7" s="16"/>
      <c r="O7" s="16"/>
      <c r="P7" s="16"/>
      <c r="Q7" s="16"/>
      <c r="R7" s="16"/>
      <c r="S7" s="16"/>
      <c r="T7" s="16"/>
      <c r="U7" s="16"/>
    </row>
    <row r="8" customFormat="false" ht="23.85" hidden="false" customHeight="false" outlineLevel="0" collapsed="false">
      <c r="A8" s="13" t="s">
        <v>130</v>
      </c>
      <c r="B8" s="13" t="s">
        <v>115</v>
      </c>
      <c r="C8" s="4" t="s">
        <v>123</v>
      </c>
      <c r="D8" s="4" t="s">
        <v>131</v>
      </c>
      <c r="E8" s="9" t="s">
        <v>34</v>
      </c>
      <c r="F8" s="13" t="n">
        <v>1</v>
      </c>
      <c r="G8" s="13" t="n">
        <v>1</v>
      </c>
      <c r="H8" s="13" t="n">
        <v>5</v>
      </c>
      <c r="I8" s="13" t="s">
        <v>119</v>
      </c>
      <c r="J8" s="4"/>
      <c r="K8" s="4" t="s">
        <v>132</v>
      </c>
      <c r="L8" s="15" t="s">
        <v>121</v>
      </c>
      <c r="M8" s="16"/>
      <c r="N8" s="16"/>
      <c r="O8" s="16"/>
      <c r="P8" s="16"/>
      <c r="Q8" s="16"/>
      <c r="R8" s="16"/>
      <c r="S8" s="16"/>
      <c r="T8" s="16"/>
      <c r="U8" s="16"/>
    </row>
    <row r="9" customFormat="false" ht="35.05" hidden="false" customHeight="false" outlineLevel="0" collapsed="false">
      <c r="A9" s="13" t="s">
        <v>133</v>
      </c>
      <c r="B9" s="13" t="s">
        <v>115</v>
      </c>
      <c r="C9" s="4" t="s">
        <v>134</v>
      </c>
      <c r="D9" s="4" t="s">
        <v>135</v>
      </c>
      <c r="E9" s="7" t="s">
        <v>30</v>
      </c>
      <c r="F9" s="13" t="n">
        <v>1</v>
      </c>
      <c r="G9" s="13" t="n">
        <v>2</v>
      </c>
      <c r="H9" s="13" t="n">
        <v>12</v>
      </c>
      <c r="I9" s="13" t="s">
        <v>119</v>
      </c>
      <c r="J9" s="4"/>
      <c r="K9" s="4" t="s">
        <v>136</v>
      </c>
      <c r="L9" s="15" t="s">
        <v>121</v>
      </c>
      <c r="M9" s="16"/>
      <c r="N9" s="16"/>
      <c r="O9" s="16"/>
      <c r="P9" s="16"/>
      <c r="Q9" s="16"/>
      <c r="R9" s="16"/>
      <c r="S9" s="16"/>
      <c r="T9" s="16"/>
      <c r="U9" s="16"/>
    </row>
    <row r="10" customFormat="false" ht="23.85" hidden="false" customHeight="false" outlineLevel="0" collapsed="false">
      <c r="A10" s="13" t="s">
        <v>137</v>
      </c>
      <c r="B10" s="13" t="s">
        <v>115</v>
      </c>
      <c r="C10" s="4" t="s">
        <v>138</v>
      </c>
      <c r="D10" s="4" t="s">
        <v>139</v>
      </c>
      <c r="E10" s="14" t="s">
        <v>118</v>
      </c>
      <c r="F10" s="13" t="n">
        <v>1</v>
      </c>
      <c r="G10" s="13" t="n">
        <v>2</v>
      </c>
      <c r="H10" s="13" t="n">
        <v>8</v>
      </c>
      <c r="I10" s="13" t="s">
        <v>119</v>
      </c>
      <c r="J10" s="4"/>
      <c r="K10" s="4" t="s">
        <v>140</v>
      </c>
      <c r="L10" s="15" t="s">
        <v>121</v>
      </c>
      <c r="M10" s="16"/>
      <c r="N10" s="16"/>
      <c r="O10" s="16"/>
      <c r="P10" s="16"/>
      <c r="Q10" s="16"/>
      <c r="R10" s="16"/>
      <c r="S10" s="16"/>
      <c r="T10" s="16"/>
      <c r="U10" s="16"/>
    </row>
    <row r="11" customFormat="false" ht="15" hidden="false" customHeight="false" outlineLevel="0" collapsed="false">
      <c r="A11" s="13" t="s">
        <v>141</v>
      </c>
      <c r="B11" s="13" t="s">
        <v>115</v>
      </c>
      <c r="C11" s="4" t="s">
        <v>123</v>
      </c>
      <c r="D11" s="4" t="s">
        <v>142</v>
      </c>
      <c r="E11" s="7" t="s">
        <v>30</v>
      </c>
      <c r="F11" s="13" t="n">
        <v>1</v>
      </c>
      <c r="G11" s="13" t="n">
        <v>1</v>
      </c>
      <c r="H11" s="13" t="n">
        <v>4</v>
      </c>
      <c r="I11" s="13" t="s">
        <v>119</v>
      </c>
      <c r="J11" s="4"/>
      <c r="K11" s="4" t="s">
        <v>143</v>
      </c>
      <c r="L11" s="15" t="s">
        <v>121</v>
      </c>
      <c r="M11" s="16"/>
      <c r="N11" s="16"/>
      <c r="O11" s="16"/>
      <c r="P11" s="16"/>
      <c r="Q11" s="16"/>
      <c r="R11" s="16"/>
      <c r="S11" s="16"/>
      <c r="T11" s="16"/>
      <c r="U11" s="16"/>
    </row>
    <row r="12" customFormat="false" ht="23.85" hidden="false" customHeight="false" outlineLevel="0" collapsed="false">
      <c r="A12" s="13" t="s">
        <v>144</v>
      </c>
      <c r="B12" s="13" t="s">
        <v>115</v>
      </c>
      <c r="C12" s="4" t="s">
        <v>145</v>
      </c>
      <c r="D12" s="4" t="s">
        <v>146</v>
      </c>
      <c r="E12" s="7" t="s">
        <v>30</v>
      </c>
      <c r="F12" s="13" t="n">
        <v>2</v>
      </c>
      <c r="G12" s="13" t="n">
        <v>2</v>
      </c>
      <c r="H12" s="13" t="n">
        <v>8</v>
      </c>
      <c r="I12" s="13" t="s">
        <v>119</v>
      </c>
      <c r="J12" s="4" t="s">
        <v>147</v>
      </c>
      <c r="K12" s="4" t="s">
        <v>148</v>
      </c>
      <c r="L12" s="15" t="s">
        <v>121</v>
      </c>
      <c r="M12" s="16"/>
      <c r="N12" s="16"/>
      <c r="O12" s="16"/>
      <c r="P12" s="16"/>
      <c r="Q12" s="16"/>
      <c r="R12" s="16"/>
      <c r="S12" s="16"/>
      <c r="T12" s="16"/>
      <c r="U12" s="16"/>
    </row>
    <row r="13" customFormat="false" ht="23.85" hidden="false" customHeight="false" outlineLevel="0" collapsed="false">
      <c r="A13" s="13" t="s">
        <v>149</v>
      </c>
      <c r="B13" s="13" t="s">
        <v>115</v>
      </c>
      <c r="C13" s="4" t="s">
        <v>150</v>
      </c>
      <c r="D13" s="4" t="s">
        <v>151</v>
      </c>
      <c r="E13" s="7" t="s">
        <v>30</v>
      </c>
      <c r="F13" s="13" t="n">
        <v>2</v>
      </c>
      <c r="G13" s="13" t="n">
        <v>2</v>
      </c>
      <c r="H13" s="13" t="n">
        <v>10</v>
      </c>
      <c r="I13" s="13" t="s">
        <v>119</v>
      </c>
      <c r="J13" s="4" t="s">
        <v>147</v>
      </c>
      <c r="K13" s="4" t="s">
        <v>152</v>
      </c>
      <c r="L13" s="15" t="s">
        <v>121</v>
      </c>
      <c r="M13" s="16"/>
      <c r="N13" s="16"/>
      <c r="O13" s="16"/>
      <c r="P13" s="16"/>
      <c r="Q13" s="16"/>
      <c r="R13" s="16"/>
      <c r="S13" s="16"/>
      <c r="T13" s="16"/>
      <c r="U13" s="16"/>
    </row>
    <row r="14" customFormat="false" ht="23.85" hidden="false" customHeight="false" outlineLevel="0" collapsed="false">
      <c r="A14" s="13" t="s">
        <v>153</v>
      </c>
      <c r="B14" s="13" t="s">
        <v>115</v>
      </c>
      <c r="C14" s="4" t="s">
        <v>154</v>
      </c>
      <c r="D14" s="4" t="s">
        <v>155</v>
      </c>
      <c r="E14" s="9" t="s">
        <v>34</v>
      </c>
      <c r="F14" s="13" t="n">
        <v>2</v>
      </c>
      <c r="G14" s="13" t="n">
        <v>2</v>
      </c>
      <c r="H14" s="13" t="n">
        <v>10</v>
      </c>
      <c r="I14" s="13" t="s">
        <v>119</v>
      </c>
      <c r="J14" s="4" t="s">
        <v>156</v>
      </c>
      <c r="K14" s="4" t="s">
        <v>157</v>
      </c>
      <c r="L14" s="15" t="s">
        <v>121</v>
      </c>
      <c r="M14" s="16"/>
      <c r="N14" s="16"/>
      <c r="O14" s="16"/>
      <c r="P14" s="16"/>
      <c r="Q14" s="16"/>
      <c r="R14" s="16"/>
      <c r="S14" s="16"/>
      <c r="T14" s="16"/>
      <c r="U14" s="16"/>
    </row>
    <row r="15" customFormat="false" ht="15" hidden="false" customHeight="false" outlineLevel="0" collapsed="false">
      <c r="A15" s="13" t="s">
        <v>158</v>
      </c>
      <c r="B15" s="13" t="s">
        <v>115</v>
      </c>
      <c r="C15" s="4" t="s">
        <v>159</v>
      </c>
      <c r="D15" s="4" t="s">
        <v>160</v>
      </c>
      <c r="E15" s="10" t="s">
        <v>38</v>
      </c>
      <c r="F15" s="13" t="n">
        <v>1</v>
      </c>
      <c r="G15" s="13" t="n">
        <v>1</v>
      </c>
      <c r="H15" s="13" t="n">
        <v>6</v>
      </c>
      <c r="I15" s="13" t="s">
        <v>119</v>
      </c>
      <c r="J15" s="4" t="s">
        <v>161</v>
      </c>
      <c r="K15" s="4" t="s">
        <v>162</v>
      </c>
      <c r="L15" s="15" t="s">
        <v>121</v>
      </c>
      <c r="M15" s="16"/>
      <c r="N15" s="16"/>
      <c r="O15" s="16"/>
      <c r="P15" s="16"/>
      <c r="Q15" s="16"/>
      <c r="R15" s="16"/>
      <c r="S15" s="16"/>
      <c r="T15" s="16"/>
      <c r="U15" s="16"/>
    </row>
    <row r="16" customFormat="false" ht="15" hidden="false" customHeight="false" outlineLevel="0" collapsed="false">
      <c r="A16" s="13" t="s">
        <v>163</v>
      </c>
      <c r="B16" s="13" t="s">
        <v>115</v>
      </c>
      <c r="C16" s="4" t="s">
        <v>159</v>
      </c>
      <c r="D16" s="4" t="s">
        <v>164</v>
      </c>
      <c r="E16" s="10" t="s">
        <v>38</v>
      </c>
      <c r="F16" s="13" t="n">
        <v>1</v>
      </c>
      <c r="G16" s="13" t="n">
        <v>1</v>
      </c>
      <c r="H16" s="13" t="n">
        <v>10</v>
      </c>
      <c r="I16" s="13" t="s">
        <v>119</v>
      </c>
      <c r="J16" s="4" t="s">
        <v>165</v>
      </c>
      <c r="K16" s="4" t="s">
        <v>166</v>
      </c>
      <c r="L16" s="15" t="s">
        <v>121</v>
      </c>
      <c r="M16" s="16"/>
      <c r="N16" s="16"/>
      <c r="O16" s="16"/>
      <c r="P16" s="16"/>
      <c r="Q16" s="16"/>
      <c r="R16" s="16"/>
      <c r="S16" s="16"/>
      <c r="T16" s="16"/>
      <c r="U16" s="16"/>
    </row>
    <row r="17" customFormat="false" ht="35.05" hidden="false" customHeight="false" outlineLevel="0" collapsed="false">
      <c r="A17" s="13" t="s">
        <v>167</v>
      </c>
      <c r="B17" s="13" t="s">
        <v>115</v>
      </c>
      <c r="C17" s="4" t="s">
        <v>159</v>
      </c>
      <c r="D17" s="4" t="s">
        <v>168</v>
      </c>
      <c r="E17" s="10" t="s">
        <v>38</v>
      </c>
      <c r="F17" s="13" t="n">
        <v>2</v>
      </c>
      <c r="G17" s="13" t="n">
        <v>2</v>
      </c>
      <c r="H17" s="13" t="n">
        <v>10</v>
      </c>
      <c r="I17" s="13" t="s">
        <v>119</v>
      </c>
      <c r="J17" s="4" t="s">
        <v>166</v>
      </c>
      <c r="K17" s="4" t="s">
        <v>169</v>
      </c>
      <c r="L17" s="15" t="s">
        <v>121</v>
      </c>
      <c r="M17" s="16"/>
      <c r="N17" s="16"/>
      <c r="O17" s="16"/>
      <c r="P17" s="16"/>
      <c r="Q17" s="16"/>
      <c r="R17" s="16"/>
      <c r="S17" s="16"/>
      <c r="T17" s="16"/>
      <c r="U17" s="16"/>
    </row>
    <row r="18" customFormat="false" ht="23.85" hidden="false" customHeight="false" outlineLevel="0" collapsed="false">
      <c r="A18" s="13" t="s">
        <v>170</v>
      </c>
      <c r="B18" s="13" t="s">
        <v>115</v>
      </c>
      <c r="C18" s="4" t="s">
        <v>159</v>
      </c>
      <c r="D18" s="4" t="s">
        <v>171</v>
      </c>
      <c r="E18" s="10" t="s">
        <v>38</v>
      </c>
      <c r="F18" s="13" t="n">
        <v>2</v>
      </c>
      <c r="G18" s="13" t="n">
        <v>2</v>
      </c>
      <c r="H18" s="13" t="n">
        <v>6</v>
      </c>
      <c r="I18" s="13" t="s">
        <v>119</v>
      </c>
      <c r="J18" s="4" t="s">
        <v>172</v>
      </c>
      <c r="K18" s="4" t="s">
        <v>173</v>
      </c>
      <c r="L18" s="15" t="s">
        <v>121</v>
      </c>
      <c r="M18" s="16"/>
      <c r="N18" s="16"/>
      <c r="O18" s="16"/>
      <c r="P18" s="16"/>
      <c r="Q18" s="16"/>
      <c r="R18" s="16"/>
      <c r="S18" s="16"/>
      <c r="T18" s="16"/>
      <c r="U18" s="16"/>
    </row>
    <row r="19" customFormat="false" ht="35.05" hidden="false" customHeight="false" outlineLevel="0" collapsed="false">
      <c r="A19" s="13" t="s">
        <v>174</v>
      </c>
      <c r="B19" s="13" t="s">
        <v>115</v>
      </c>
      <c r="C19" s="4" t="s">
        <v>12</v>
      </c>
      <c r="D19" s="4" t="s">
        <v>175</v>
      </c>
      <c r="E19" s="10" t="s">
        <v>38</v>
      </c>
      <c r="F19" s="13" t="n">
        <v>2</v>
      </c>
      <c r="G19" s="13" t="n">
        <v>2</v>
      </c>
      <c r="H19" s="13" t="n">
        <v>6</v>
      </c>
      <c r="I19" s="13" t="s">
        <v>119</v>
      </c>
      <c r="J19" s="4"/>
      <c r="K19" s="4" t="s">
        <v>176</v>
      </c>
      <c r="L19" s="15" t="s">
        <v>121</v>
      </c>
      <c r="M19" s="16"/>
      <c r="N19" s="16"/>
      <c r="O19" s="16"/>
      <c r="P19" s="16"/>
      <c r="Q19" s="16"/>
      <c r="R19" s="16"/>
      <c r="S19" s="16"/>
      <c r="T19" s="16"/>
      <c r="U19" s="16"/>
    </row>
    <row r="20" customFormat="false" ht="15" hidden="false" customHeight="false" outlineLevel="0" collapsed="false">
      <c r="A20" s="13" t="s">
        <v>177</v>
      </c>
      <c r="B20" s="13" t="s">
        <v>115</v>
      </c>
      <c r="C20" s="4" t="s">
        <v>116</v>
      </c>
      <c r="D20" s="4" t="s">
        <v>178</v>
      </c>
      <c r="E20" s="14" t="s">
        <v>118</v>
      </c>
      <c r="F20" s="13" t="n">
        <v>2</v>
      </c>
      <c r="G20" s="13" t="n">
        <v>2</v>
      </c>
      <c r="H20" s="13" t="n">
        <v>2</v>
      </c>
      <c r="I20" s="13" t="s">
        <v>179</v>
      </c>
      <c r="J20" s="4"/>
      <c r="K20" s="4" t="s">
        <v>180</v>
      </c>
      <c r="L20" s="15" t="s">
        <v>121</v>
      </c>
      <c r="M20" s="16"/>
      <c r="N20" s="16"/>
      <c r="O20" s="16"/>
      <c r="P20" s="16"/>
      <c r="Q20" s="16"/>
      <c r="R20" s="16"/>
      <c r="S20" s="16"/>
      <c r="T20" s="16"/>
      <c r="U20" s="16"/>
    </row>
    <row r="21" customFormat="false" ht="15" hidden="false" customHeight="false" outlineLevel="0" collapsed="false">
      <c r="A21" s="13" t="s">
        <v>181</v>
      </c>
      <c r="B21" s="13" t="s">
        <v>182</v>
      </c>
      <c r="C21" s="4" t="s">
        <v>150</v>
      </c>
      <c r="D21" s="4" t="s">
        <v>183</v>
      </c>
      <c r="E21" s="7" t="s">
        <v>30</v>
      </c>
      <c r="F21" s="13" t="n">
        <v>3</v>
      </c>
      <c r="G21" s="13" t="n">
        <v>3</v>
      </c>
      <c r="H21" s="13" t="n">
        <v>6</v>
      </c>
      <c r="I21" s="13" t="s">
        <v>119</v>
      </c>
      <c r="J21" s="4" t="s">
        <v>184</v>
      </c>
      <c r="K21" s="4" t="s">
        <v>185</v>
      </c>
      <c r="L21" s="15" t="s">
        <v>121</v>
      </c>
      <c r="M21" s="16"/>
      <c r="N21" s="16"/>
      <c r="O21" s="16"/>
      <c r="P21" s="16"/>
      <c r="Q21" s="16"/>
      <c r="R21" s="16"/>
      <c r="S21" s="16"/>
      <c r="T21" s="16"/>
      <c r="U21" s="16"/>
    </row>
    <row r="22" customFormat="false" ht="23.85" hidden="false" customHeight="false" outlineLevel="0" collapsed="false">
      <c r="A22" s="13" t="s">
        <v>186</v>
      </c>
      <c r="B22" s="13" t="s">
        <v>182</v>
      </c>
      <c r="C22" s="4" t="s">
        <v>150</v>
      </c>
      <c r="D22" s="4" t="s">
        <v>187</v>
      </c>
      <c r="E22" s="7" t="s">
        <v>30</v>
      </c>
      <c r="F22" s="13" t="n">
        <v>3</v>
      </c>
      <c r="G22" s="13" t="n">
        <v>3</v>
      </c>
      <c r="H22" s="13" t="n">
        <v>8</v>
      </c>
      <c r="I22" s="13" t="s">
        <v>119</v>
      </c>
      <c r="J22" s="4" t="s">
        <v>188</v>
      </c>
      <c r="K22" s="4" t="s">
        <v>189</v>
      </c>
      <c r="L22" s="15" t="s">
        <v>121</v>
      </c>
      <c r="M22" s="16"/>
      <c r="N22" s="16"/>
      <c r="O22" s="16"/>
      <c r="P22" s="16"/>
      <c r="Q22" s="16"/>
      <c r="R22" s="16"/>
      <c r="S22" s="16"/>
      <c r="T22" s="16"/>
      <c r="U22" s="16"/>
    </row>
    <row r="23" customFormat="false" ht="35.05" hidden="false" customHeight="false" outlineLevel="0" collapsed="false">
      <c r="A23" s="13" t="s">
        <v>190</v>
      </c>
      <c r="B23" s="13" t="s">
        <v>182</v>
      </c>
      <c r="C23" s="4" t="s">
        <v>191</v>
      </c>
      <c r="D23" s="4" t="s">
        <v>192</v>
      </c>
      <c r="E23" s="7" t="s">
        <v>30</v>
      </c>
      <c r="F23" s="13" t="n">
        <v>3</v>
      </c>
      <c r="G23" s="13" t="n">
        <v>4</v>
      </c>
      <c r="H23" s="13" t="n">
        <v>14</v>
      </c>
      <c r="I23" s="13" t="s">
        <v>119</v>
      </c>
      <c r="J23" s="4" t="s">
        <v>147</v>
      </c>
      <c r="K23" s="4" t="s">
        <v>193</v>
      </c>
      <c r="L23" s="15" t="s">
        <v>121</v>
      </c>
      <c r="M23" s="16"/>
      <c r="N23" s="16"/>
      <c r="O23" s="16"/>
      <c r="P23" s="16"/>
      <c r="Q23" s="16"/>
      <c r="R23" s="16"/>
      <c r="S23" s="16"/>
      <c r="T23" s="16"/>
      <c r="U23" s="16"/>
    </row>
    <row r="24" customFormat="false" ht="35.05" hidden="false" customHeight="false" outlineLevel="0" collapsed="false">
      <c r="A24" s="13" t="s">
        <v>194</v>
      </c>
      <c r="B24" s="13" t="s">
        <v>182</v>
      </c>
      <c r="C24" s="4" t="s">
        <v>154</v>
      </c>
      <c r="D24" s="4" t="s">
        <v>195</v>
      </c>
      <c r="E24" s="9" t="s">
        <v>34</v>
      </c>
      <c r="F24" s="13" t="n">
        <v>3</v>
      </c>
      <c r="G24" s="13" t="n">
        <v>4</v>
      </c>
      <c r="H24" s="13" t="n">
        <v>18</v>
      </c>
      <c r="I24" s="13" t="s">
        <v>119</v>
      </c>
      <c r="J24" s="4" t="s">
        <v>156</v>
      </c>
      <c r="K24" s="4" t="s">
        <v>196</v>
      </c>
      <c r="L24" s="15" t="s">
        <v>121</v>
      </c>
      <c r="M24" s="16"/>
      <c r="N24" s="16"/>
      <c r="O24" s="16"/>
      <c r="P24" s="16"/>
      <c r="Q24" s="16"/>
      <c r="R24" s="16"/>
      <c r="S24" s="16"/>
      <c r="T24" s="16"/>
      <c r="U24" s="16"/>
    </row>
    <row r="25" customFormat="false" ht="15" hidden="false" customHeight="false" outlineLevel="0" collapsed="false">
      <c r="A25" s="13" t="s">
        <v>197</v>
      </c>
      <c r="B25" s="13" t="s">
        <v>182</v>
      </c>
      <c r="C25" s="4" t="s">
        <v>154</v>
      </c>
      <c r="D25" s="4" t="s">
        <v>198</v>
      </c>
      <c r="E25" s="9" t="s">
        <v>34</v>
      </c>
      <c r="F25" s="13" t="n">
        <v>4</v>
      </c>
      <c r="G25" s="13" t="n">
        <v>4</v>
      </c>
      <c r="H25" s="13" t="n">
        <v>4</v>
      </c>
      <c r="I25" s="13" t="s">
        <v>119</v>
      </c>
      <c r="J25" s="4" t="s">
        <v>199</v>
      </c>
      <c r="K25" s="4" t="s">
        <v>200</v>
      </c>
      <c r="L25" s="15" t="s">
        <v>121</v>
      </c>
      <c r="M25" s="16"/>
      <c r="N25" s="16"/>
      <c r="O25" s="16"/>
      <c r="P25" s="16"/>
      <c r="Q25" s="16"/>
      <c r="R25" s="16"/>
      <c r="S25" s="16"/>
      <c r="T25" s="16"/>
      <c r="U25" s="16"/>
    </row>
    <row r="26" customFormat="false" ht="23.85" hidden="false" customHeight="false" outlineLevel="0" collapsed="false">
      <c r="A26" s="13" t="s">
        <v>201</v>
      </c>
      <c r="B26" s="13" t="s">
        <v>182</v>
      </c>
      <c r="C26" s="4" t="s">
        <v>202</v>
      </c>
      <c r="D26" s="4" t="s">
        <v>203</v>
      </c>
      <c r="E26" s="9" t="s">
        <v>34</v>
      </c>
      <c r="F26" s="13" t="n">
        <v>4</v>
      </c>
      <c r="G26" s="13" t="n">
        <v>4</v>
      </c>
      <c r="H26" s="13" t="n">
        <v>10</v>
      </c>
      <c r="I26" s="13" t="s">
        <v>119</v>
      </c>
      <c r="J26" s="4" t="s">
        <v>199</v>
      </c>
      <c r="K26" s="4" t="s">
        <v>204</v>
      </c>
      <c r="L26" s="15" t="s">
        <v>121</v>
      </c>
      <c r="M26" s="16"/>
      <c r="N26" s="16"/>
      <c r="O26" s="16"/>
      <c r="P26" s="16"/>
      <c r="Q26" s="16"/>
      <c r="R26" s="16"/>
      <c r="S26" s="16"/>
      <c r="T26" s="16"/>
      <c r="U26" s="16"/>
    </row>
    <row r="27" customFormat="false" ht="23.85" hidden="false" customHeight="false" outlineLevel="0" collapsed="false">
      <c r="A27" s="13" t="s">
        <v>205</v>
      </c>
      <c r="B27" s="13" t="s">
        <v>182</v>
      </c>
      <c r="C27" s="4" t="s">
        <v>154</v>
      </c>
      <c r="D27" s="4" t="s">
        <v>206</v>
      </c>
      <c r="E27" s="9" t="s">
        <v>34</v>
      </c>
      <c r="F27" s="13" t="n">
        <v>3</v>
      </c>
      <c r="G27" s="13" t="n">
        <v>3</v>
      </c>
      <c r="H27" s="13" t="n">
        <v>6</v>
      </c>
      <c r="I27" s="13" t="s">
        <v>119</v>
      </c>
      <c r="J27" s="4" t="s">
        <v>199</v>
      </c>
      <c r="K27" s="4" t="s">
        <v>207</v>
      </c>
      <c r="L27" s="15" t="s">
        <v>121</v>
      </c>
      <c r="M27" s="16"/>
      <c r="N27" s="16"/>
      <c r="O27" s="16"/>
      <c r="P27" s="16"/>
      <c r="Q27" s="16"/>
      <c r="R27" s="16"/>
      <c r="S27" s="16"/>
      <c r="T27" s="16"/>
      <c r="U27" s="16"/>
    </row>
    <row r="28" customFormat="false" ht="23.85" hidden="false" customHeight="false" outlineLevel="0" collapsed="false">
      <c r="A28" s="13" t="s">
        <v>208</v>
      </c>
      <c r="B28" s="13" t="s">
        <v>182</v>
      </c>
      <c r="C28" s="4" t="s">
        <v>209</v>
      </c>
      <c r="D28" s="4" t="s">
        <v>210</v>
      </c>
      <c r="E28" s="7" t="s">
        <v>30</v>
      </c>
      <c r="F28" s="13" t="n">
        <v>4</v>
      </c>
      <c r="G28" s="13" t="n">
        <v>4</v>
      </c>
      <c r="H28" s="13" t="n">
        <v>8</v>
      </c>
      <c r="I28" s="13" t="s">
        <v>179</v>
      </c>
      <c r="J28" s="4" t="s">
        <v>211</v>
      </c>
      <c r="K28" s="4" t="s">
        <v>212</v>
      </c>
      <c r="L28" s="15" t="s">
        <v>121</v>
      </c>
      <c r="M28" s="16"/>
      <c r="N28" s="16"/>
      <c r="O28" s="16"/>
      <c r="P28" s="16"/>
      <c r="Q28" s="16"/>
      <c r="R28" s="16"/>
      <c r="S28" s="16"/>
      <c r="T28" s="16"/>
      <c r="U28" s="16"/>
    </row>
    <row r="29" customFormat="false" ht="23.85" hidden="false" customHeight="false" outlineLevel="0" collapsed="false">
      <c r="A29" s="13" t="s">
        <v>213</v>
      </c>
      <c r="B29" s="13" t="s">
        <v>182</v>
      </c>
      <c r="C29" s="4" t="s">
        <v>159</v>
      </c>
      <c r="D29" s="4" t="s">
        <v>214</v>
      </c>
      <c r="E29" s="10" t="s">
        <v>38</v>
      </c>
      <c r="F29" s="13" t="n">
        <v>3</v>
      </c>
      <c r="G29" s="13" t="n">
        <v>3</v>
      </c>
      <c r="H29" s="13" t="n">
        <v>8</v>
      </c>
      <c r="I29" s="13" t="s">
        <v>119</v>
      </c>
      <c r="J29" s="4" t="s">
        <v>172</v>
      </c>
      <c r="K29" s="4" t="s">
        <v>215</v>
      </c>
      <c r="L29" s="15" t="s">
        <v>121</v>
      </c>
      <c r="M29" s="16"/>
      <c r="N29" s="16"/>
      <c r="O29" s="16"/>
      <c r="P29" s="16"/>
      <c r="Q29" s="16"/>
      <c r="R29" s="16"/>
      <c r="S29" s="16"/>
      <c r="T29" s="16"/>
      <c r="U29" s="16"/>
    </row>
    <row r="30" customFormat="false" ht="35.05" hidden="false" customHeight="false" outlineLevel="0" collapsed="false">
      <c r="A30" s="13" t="s">
        <v>216</v>
      </c>
      <c r="B30" s="13" t="s">
        <v>182</v>
      </c>
      <c r="C30" s="4" t="s">
        <v>159</v>
      </c>
      <c r="D30" s="4" t="s">
        <v>217</v>
      </c>
      <c r="E30" s="10" t="s">
        <v>38</v>
      </c>
      <c r="F30" s="13" t="n">
        <v>3</v>
      </c>
      <c r="G30" s="13" t="n">
        <v>4</v>
      </c>
      <c r="H30" s="13" t="n">
        <v>14</v>
      </c>
      <c r="I30" s="13" t="s">
        <v>119</v>
      </c>
      <c r="J30" s="4" t="s">
        <v>172</v>
      </c>
      <c r="K30" s="4" t="s">
        <v>218</v>
      </c>
      <c r="L30" s="15" t="s">
        <v>121</v>
      </c>
      <c r="M30" s="16"/>
      <c r="N30" s="16"/>
      <c r="O30" s="16"/>
      <c r="P30" s="16"/>
      <c r="Q30" s="16"/>
      <c r="R30" s="16"/>
      <c r="S30" s="16"/>
      <c r="T30" s="16"/>
      <c r="U30" s="16"/>
    </row>
    <row r="31" customFormat="false" ht="23.85" hidden="false" customHeight="false" outlineLevel="0" collapsed="false">
      <c r="A31" s="13" t="s">
        <v>219</v>
      </c>
      <c r="B31" s="13" t="s">
        <v>182</v>
      </c>
      <c r="C31" s="4" t="s">
        <v>159</v>
      </c>
      <c r="D31" s="4" t="s">
        <v>220</v>
      </c>
      <c r="E31" s="10" t="s">
        <v>38</v>
      </c>
      <c r="F31" s="13" t="n">
        <v>4</v>
      </c>
      <c r="G31" s="13" t="n">
        <v>4</v>
      </c>
      <c r="H31" s="13" t="n">
        <v>6</v>
      </c>
      <c r="I31" s="13" t="s">
        <v>179</v>
      </c>
      <c r="J31" s="4" t="s">
        <v>221</v>
      </c>
      <c r="K31" s="4" t="s">
        <v>222</v>
      </c>
      <c r="L31" s="15" t="s">
        <v>121</v>
      </c>
      <c r="M31" s="16"/>
      <c r="N31" s="16"/>
      <c r="O31" s="16"/>
      <c r="P31" s="16"/>
      <c r="Q31" s="16"/>
      <c r="R31" s="16"/>
      <c r="S31" s="16"/>
      <c r="T31" s="16"/>
      <c r="U31" s="16"/>
    </row>
    <row r="32" customFormat="false" ht="23.85" hidden="false" customHeight="false" outlineLevel="0" collapsed="false">
      <c r="A32" s="13" t="s">
        <v>223</v>
      </c>
      <c r="B32" s="13" t="s">
        <v>182</v>
      </c>
      <c r="C32" s="4" t="s">
        <v>12</v>
      </c>
      <c r="D32" s="4" t="s">
        <v>224</v>
      </c>
      <c r="E32" s="10" t="s">
        <v>38</v>
      </c>
      <c r="F32" s="13" t="n">
        <v>3</v>
      </c>
      <c r="G32" s="13" t="n">
        <v>3</v>
      </c>
      <c r="H32" s="13" t="n">
        <v>6</v>
      </c>
      <c r="I32" s="13" t="s">
        <v>119</v>
      </c>
      <c r="J32" s="4" t="s">
        <v>225</v>
      </c>
      <c r="K32" s="4" t="s">
        <v>226</v>
      </c>
      <c r="L32" s="15" t="s">
        <v>121</v>
      </c>
      <c r="M32" s="16"/>
      <c r="N32" s="16"/>
      <c r="O32" s="16"/>
      <c r="P32" s="16"/>
      <c r="Q32" s="16"/>
      <c r="R32" s="16"/>
      <c r="S32" s="16"/>
      <c r="T32" s="16"/>
      <c r="U32" s="16"/>
    </row>
    <row r="33" customFormat="false" ht="23.85" hidden="false" customHeight="false" outlineLevel="0" collapsed="false">
      <c r="A33" s="13" t="s">
        <v>227</v>
      </c>
      <c r="B33" s="13" t="s">
        <v>182</v>
      </c>
      <c r="C33" s="4" t="s">
        <v>12</v>
      </c>
      <c r="D33" s="4" t="s">
        <v>228</v>
      </c>
      <c r="E33" s="10" t="s">
        <v>38</v>
      </c>
      <c r="F33" s="13" t="n">
        <v>4</v>
      </c>
      <c r="G33" s="13" t="n">
        <v>4</v>
      </c>
      <c r="H33" s="13" t="n">
        <v>8</v>
      </c>
      <c r="I33" s="13" t="s">
        <v>119</v>
      </c>
      <c r="J33" s="4" t="s">
        <v>193</v>
      </c>
      <c r="K33" s="4" t="s">
        <v>229</v>
      </c>
      <c r="L33" s="15" t="s">
        <v>121</v>
      </c>
      <c r="M33" s="16"/>
      <c r="N33" s="16"/>
      <c r="O33" s="16"/>
      <c r="P33" s="16"/>
      <c r="Q33" s="16"/>
      <c r="R33" s="16"/>
      <c r="S33" s="16"/>
      <c r="T33" s="16"/>
      <c r="U33" s="16"/>
    </row>
    <row r="34" customFormat="false" ht="15" hidden="false" customHeight="false" outlineLevel="0" collapsed="false">
      <c r="A34" s="13" t="s">
        <v>230</v>
      </c>
      <c r="B34" s="13" t="s">
        <v>182</v>
      </c>
      <c r="C34" s="4" t="s">
        <v>116</v>
      </c>
      <c r="D34" s="4" t="s">
        <v>231</v>
      </c>
      <c r="E34" s="14" t="s">
        <v>118</v>
      </c>
      <c r="F34" s="13" t="n">
        <v>4</v>
      </c>
      <c r="G34" s="13" t="n">
        <v>4</v>
      </c>
      <c r="H34" s="13" t="n">
        <v>2</v>
      </c>
      <c r="I34" s="13" t="s">
        <v>179</v>
      </c>
      <c r="J34" s="4"/>
      <c r="K34" s="4" t="s">
        <v>232</v>
      </c>
      <c r="L34" s="15" t="s">
        <v>121</v>
      </c>
      <c r="M34" s="16"/>
      <c r="N34" s="16"/>
      <c r="O34" s="16"/>
      <c r="P34" s="16"/>
      <c r="Q34" s="16"/>
      <c r="R34" s="16"/>
      <c r="S34" s="16"/>
      <c r="T34" s="16"/>
      <c r="U34" s="16"/>
    </row>
    <row r="35" customFormat="false" ht="23.85" hidden="false" customHeight="false" outlineLevel="0" collapsed="false">
      <c r="A35" s="13" t="s">
        <v>233</v>
      </c>
      <c r="B35" s="13" t="s">
        <v>234</v>
      </c>
      <c r="C35" s="4" t="s">
        <v>202</v>
      </c>
      <c r="D35" s="4" t="s">
        <v>235</v>
      </c>
      <c r="E35" s="9" t="s">
        <v>34</v>
      </c>
      <c r="F35" s="13" t="n">
        <v>5</v>
      </c>
      <c r="G35" s="13" t="n">
        <v>5</v>
      </c>
      <c r="H35" s="13" t="n">
        <v>14</v>
      </c>
      <c r="I35" s="13" t="s">
        <v>119</v>
      </c>
      <c r="J35" s="4" t="s">
        <v>196</v>
      </c>
      <c r="K35" s="4" t="s">
        <v>236</v>
      </c>
      <c r="L35" s="15" t="s">
        <v>121</v>
      </c>
      <c r="M35" s="16"/>
      <c r="N35" s="16"/>
      <c r="O35" s="16"/>
      <c r="P35" s="16"/>
      <c r="Q35" s="16"/>
      <c r="R35" s="16"/>
      <c r="S35" s="16"/>
      <c r="T35" s="16"/>
      <c r="U35" s="16"/>
    </row>
    <row r="36" customFormat="false" ht="23.85" hidden="false" customHeight="false" outlineLevel="0" collapsed="false">
      <c r="A36" s="13" t="s">
        <v>237</v>
      </c>
      <c r="B36" s="13" t="s">
        <v>234</v>
      </c>
      <c r="C36" s="4" t="s">
        <v>154</v>
      </c>
      <c r="D36" s="4" t="s">
        <v>238</v>
      </c>
      <c r="E36" s="9" t="s">
        <v>34</v>
      </c>
      <c r="F36" s="13" t="n">
        <v>5</v>
      </c>
      <c r="G36" s="13" t="n">
        <v>5</v>
      </c>
      <c r="H36" s="13" t="n">
        <v>6</v>
      </c>
      <c r="I36" s="13" t="s">
        <v>119</v>
      </c>
      <c r="J36" s="4" t="s">
        <v>199</v>
      </c>
      <c r="K36" s="4" t="s">
        <v>239</v>
      </c>
      <c r="L36" s="15" t="s">
        <v>121</v>
      </c>
      <c r="M36" s="16"/>
      <c r="N36" s="16"/>
      <c r="O36" s="16"/>
      <c r="P36" s="16"/>
      <c r="Q36" s="16"/>
      <c r="R36" s="16"/>
      <c r="S36" s="16"/>
      <c r="T36" s="16"/>
      <c r="U36" s="16"/>
    </row>
    <row r="37" customFormat="false" ht="35.05" hidden="false" customHeight="false" outlineLevel="0" collapsed="false">
      <c r="A37" s="13" t="s">
        <v>240</v>
      </c>
      <c r="B37" s="13" t="s">
        <v>234</v>
      </c>
      <c r="C37" s="4" t="s">
        <v>202</v>
      </c>
      <c r="D37" s="4" t="s">
        <v>241</v>
      </c>
      <c r="E37" s="9" t="s">
        <v>34</v>
      </c>
      <c r="F37" s="13" t="n">
        <v>6</v>
      </c>
      <c r="G37" s="13" t="n">
        <v>6</v>
      </c>
      <c r="H37" s="13" t="n">
        <v>16</v>
      </c>
      <c r="I37" s="13" t="s">
        <v>119</v>
      </c>
      <c r="J37" s="4" t="s">
        <v>242</v>
      </c>
      <c r="K37" s="4" t="s">
        <v>243</v>
      </c>
      <c r="L37" s="15" t="s">
        <v>121</v>
      </c>
      <c r="M37" s="16"/>
      <c r="N37" s="16"/>
      <c r="O37" s="16"/>
      <c r="P37" s="16"/>
      <c r="Q37" s="16"/>
      <c r="R37" s="16"/>
      <c r="S37" s="16"/>
      <c r="T37" s="16"/>
      <c r="U37" s="16"/>
    </row>
    <row r="38" customFormat="false" ht="23.85" hidden="false" customHeight="false" outlineLevel="0" collapsed="false">
      <c r="A38" s="13" t="s">
        <v>244</v>
      </c>
      <c r="B38" s="13" t="s">
        <v>234</v>
      </c>
      <c r="C38" s="4" t="s">
        <v>202</v>
      </c>
      <c r="D38" s="4" t="s">
        <v>245</v>
      </c>
      <c r="E38" s="7" t="s">
        <v>30</v>
      </c>
      <c r="F38" s="13" t="n">
        <v>5</v>
      </c>
      <c r="G38" s="13" t="n">
        <v>5</v>
      </c>
      <c r="H38" s="13" t="n">
        <v>10</v>
      </c>
      <c r="I38" s="13" t="s">
        <v>119</v>
      </c>
      <c r="J38" s="4" t="s">
        <v>246</v>
      </c>
      <c r="K38" s="4" t="s">
        <v>247</v>
      </c>
      <c r="L38" s="15" t="s">
        <v>121</v>
      </c>
      <c r="M38" s="16"/>
      <c r="N38" s="16"/>
      <c r="O38" s="16"/>
      <c r="P38" s="16"/>
      <c r="Q38" s="16"/>
      <c r="R38" s="16"/>
      <c r="S38" s="16"/>
      <c r="T38" s="16"/>
      <c r="U38" s="16"/>
    </row>
    <row r="39" customFormat="false" ht="35.05" hidden="false" customHeight="false" outlineLevel="0" collapsed="false">
      <c r="A39" s="13" t="s">
        <v>248</v>
      </c>
      <c r="B39" s="13" t="s">
        <v>234</v>
      </c>
      <c r="C39" s="4" t="s">
        <v>209</v>
      </c>
      <c r="D39" s="4" t="s">
        <v>249</v>
      </c>
      <c r="E39" s="7" t="s">
        <v>30</v>
      </c>
      <c r="F39" s="13" t="n">
        <v>5</v>
      </c>
      <c r="G39" s="13" t="n">
        <v>6</v>
      </c>
      <c r="H39" s="13" t="n">
        <v>10</v>
      </c>
      <c r="I39" s="13" t="s">
        <v>119</v>
      </c>
      <c r="J39" s="4" t="s">
        <v>250</v>
      </c>
      <c r="K39" s="4" t="s">
        <v>251</v>
      </c>
      <c r="L39" s="15" t="s">
        <v>121</v>
      </c>
      <c r="M39" s="16"/>
      <c r="N39" s="16"/>
      <c r="O39" s="16"/>
      <c r="P39" s="16"/>
      <c r="Q39" s="16"/>
      <c r="R39" s="16"/>
      <c r="S39" s="16"/>
      <c r="T39" s="16"/>
      <c r="U39" s="16"/>
    </row>
    <row r="40" customFormat="false" ht="23.85" hidden="false" customHeight="false" outlineLevel="0" collapsed="false">
      <c r="A40" s="13" t="s">
        <v>252</v>
      </c>
      <c r="B40" s="13" t="s">
        <v>234</v>
      </c>
      <c r="C40" s="4" t="s">
        <v>209</v>
      </c>
      <c r="D40" s="4" t="s">
        <v>253</v>
      </c>
      <c r="E40" s="7" t="s">
        <v>30</v>
      </c>
      <c r="F40" s="13" t="n">
        <v>6</v>
      </c>
      <c r="G40" s="13" t="n">
        <v>6</v>
      </c>
      <c r="H40" s="13" t="n">
        <v>8</v>
      </c>
      <c r="I40" s="13" t="s">
        <v>119</v>
      </c>
      <c r="J40" s="4" t="s">
        <v>254</v>
      </c>
      <c r="K40" s="4" t="s">
        <v>255</v>
      </c>
      <c r="L40" s="15" t="s">
        <v>121</v>
      </c>
      <c r="M40" s="16"/>
      <c r="N40" s="16"/>
      <c r="O40" s="16"/>
      <c r="P40" s="16"/>
      <c r="Q40" s="16"/>
      <c r="R40" s="16"/>
      <c r="S40" s="16"/>
      <c r="T40" s="16"/>
      <c r="U40" s="16"/>
    </row>
    <row r="41" customFormat="false" ht="23.85" hidden="false" customHeight="false" outlineLevel="0" collapsed="false">
      <c r="A41" s="13" t="s">
        <v>256</v>
      </c>
      <c r="B41" s="13" t="s">
        <v>234</v>
      </c>
      <c r="C41" s="4" t="s">
        <v>12</v>
      </c>
      <c r="D41" s="4" t="s">
        <v>257</v>
      </c>
      <c r="E41" s="10" t="s">
        <v>38</v>
      </c>
      <c r="F41" s="13" t="n">
        <v>5</v>
      </c>
      <c r="G41" s="13" t="n">
        <v>5</v>
      </c>
      <c r="H41" s="13" t="n">
        <v>6</v>
      </c>
      <c r="I41" s="13" t="s">
        <v>119</v>
      </c>
      <c r="J41" s="4" t="s">
        <v>189</v>
      </c>
      <c r="K41" s="4" t="s">
        <v>258</v>
      </c>
      <c r="L41" s="15" t="s">
        <v>121</v>
      </c>
      <c r="M41" s="16"/>
      <c r="N41" s="16"/>
      <c r="O41" s="16"/>
      <c r="P41" s="16"/>
      <c r="Q41" s="16"/>
      <c r="R41" s="16"/>
      <c r="S41" s="16"/>
      <c r="T41" s="16"/>
      <c r="U41" s="16"/>
    </row>
    <row r="42" customFormat="false" ht="23.85" hidden="false" customHeight="false" outlineLevel="0" collapsed="false">
      <c r="A42" s="13" t="s">
        <v>259</v>
      </c>
      <c r="B42" s="13" t="s">
        <v>234</v>
      </c>
      <c r="C42" s="4" t="s">
        <v>12</v>
      </c>
      <c r="D42" s="4" t="s">
        <v>260</v>
      </c>
      <c r="E42" s="10" t="s">
        <v>38</v>
      </c>
      <c r="F42" s="13" t="n">
        <v>5</v>
      </c>
      <c r="G42" s="13" t="n">
        <v>5</v>
      </c>
      <c r="H42" s="13" t="n">
        <v>8</v>
      </c>
      <c r="I42" s="13" t="s">
        <v>119</v>
      </c>
      <c r="J42" s="4" t="s">
        <v>204</v>
      </c>
      <c r="K42" s="4" t="s">
        <v>261</v>
      </c>
      <c r="L42" s="15" t="s">
        <v>121</v>
      </c>
      <c r="M42" s="16"/>
      <c r="N42" s="16"/>
      <c r="O42" s="16"/>
      <c r="P42" s="16"/>
      <c r="Q42" s="16"/>
      <c r="R42" s="16"/>
      <c r="S42" s="16"/>
      <c r="T42" s="16"/>
      <c r="U42" s="16"/>
    </row>
    <row r="43" customFormat="false" ht="23.85" hidden="false" customHeight="false" outlineLevel="0" collapsed="false">
      <c r="A43" s="13" t="s">
        <v>262</v>
      </c>
      <c r="B43" s="13" t="s">
        <v>234</v>
      </c>
      <c r="C43" s="4" t="s">
        <v>12</v>
      </c>
      <c r="D43" s="4" t="s">
        <v>263</v>
      </c>
      <c r="E43" s="10" t="s">
        <v>38</v>
      </c>
      <c r="F43" s="13" t="n">
        <v>6</v>
      </c>
      <c r="G43" s="13" t="n">
        <v>6</v>
      </c>
      <c r="H43" s="13" t="n">
        <v>12</v>
      </c>
      <c r="I43" s="13" t="s">
        <v>119</v>
      </c>
      <c r="J43" s="4" t="s">
        <v>264</v>
      </c>
      <c r="K43" s="4" t="s">
        <v>265</v>
      </c>
      <c r="L43" s="15" t="s">
        <v>121</v>
      </c>
      <c r="M43" s="16"/>
      <c r="N43" s="16"/>
      <c r="O43" s="16"/>
      <c r="P43" s="16"/>
      <c r="Q43" s="16"/>
      <c r="R43" s="16"/>
      <c r="S43" s="16"/>
      <c r="T43" s="16"/>
      <c r="U43" s="16"/>
    </row>
    <row r="44" customFormat="false" ht="15" hidden="false" customHeight="false" outlineLevel="0" collapsed="false">
      <c r="A44" s="13" t="s">
        <v>266</v>
      </c>
      <c r="B44" s="13" t="s">
        <v>234</v>
      </c>
      <c r="C44" s="4" t="s">
        <v>116</v>
      </c>
      <c r="D44" s="4" t="s">
        <v>267</v>
      </c>
      <c r="E44" s="14" t="s">
        <v>118</v>
      </c>
      <c r="F44" s="13" t="n">
        <v>6</v>
      </c>
      <c r="G44" s="13" t="n">
        <v>6</v>
      </c>
      <c r="H44" s="13" t="n">
        <v>2</v>
      </c>
      <c r="I44" s="13" t="s">
        <v>179</v>
      </c>
      <c r="J44" s="4"/>
      <c r="K44" s="4" t="s">
        <v>268</v>
      </c>
      <c r="L44" s="15" t="s">
        <v>121</v>
      </c>
      <c r="M44" s="16"/>
      <c r="N44" s="16"/>
      <c r="O44" s="16"/>
      <c r="P44" s="16"/>
      <c r="Q44" s="16"/>
      <c r="R44" s="16"/>
      <c r="S44" s="16"/>
      <c r="T44" s="16"/>
      <c r="U44" s="16"/>
    </row>
    <row r="45" customFormat="false" ht="23.85" hidden="false" customHeight="false" outlineLevel="0" collapsed="false">
      <c r="A45" s="13" t="s">
        <v>269</v>
      </c>
      <c r="B45" s="13" t="s">
        <v>270</v>
      </c>
      <c r="C45" s="4" t="s">
        <v>202</v>
      </c>
      <c r="D45" s="4" t="s">
        <v>271</v>
      </c>
      <c r="E45" s="9" t="s">
        <v>34</v>
      </c>
      <c r="F45" s="13" t="n">
        <v>7</v>
      </c>
      <c r="G45" s="13" t="n">
        <v>7</v>
      </c>
      <c r="H45" s="13" t="n">
        <v>12</v>
      </c>
      <c r="I45" s="13" t="s">
        <v>119</v>
      </c>
      <c r="J45" s="4" t="s">
        <v>199</v>
      </c>
      <c r="K45" s="4" t="s">
        <v>272</v>
      </c>
      <c r="L45" s="15" t="s">
        <v>121</v>
      </c>
      <c r="M45" s="16"/>
      <c r="N45" s="16"/>
      <c r="O45" s="16"/>
      <c r="P45" s="16"/>
      <c r="Q45" s="16"/>
      <c r="R45" s="16"/>
      <c r="S45" s="16"/>
      <c r="T45" s="16"/>
      <c r="U45" s="16"/>
    </row>
    <row r="46" customFormat="false" ht="23.85" hidden="false" customHeight="false" outlineLevel="0" collapsed="false">
      <c r="A46" s="13" t="s">
        <v>273</v>
      </c>
      <c r="B46" s="13" t="s">
        <v>270</v>
      </c>
      <c r="C46" s="4" t="s">
        <v>202</v>
      </c>
      <c r="D46" s="4" t="s">
        <v>274</v>
      </c>
      <c r="E46" s="9" t="s">
        <v>34</v>
      </c>
      <c r="F46" s="13" t="n">
        <v>7</v>
      </c>
      <c r="G46" s="13" t="n">
        <v>7</v>
      </c>
      <c r="H46" s="13" t="n">
        <v>8</v>
      </c>
      <c r="I46" s="13" t="s">
        <v>119</v>
      </c>
      <c r="J46" s="4" t="s">
        <v>246</v>
      </c>
      <c r="K46" s="4" t="s">
        <v>275</v>
      </c>
      <c r="L46" s="15" t="s">
        <v>121</v>
      </c>
      <c r="M46" s="16"/>
      <c r="N46" s="16"/>
      <c r="O46" s="16"/>
      <c r="P46" s="16"/>
      <c r="Q46" s="16"/>
      <c r="R46" s="16"/>
      <c r="S46" s="16"/>
      <c r="T46" s="16"/>
      <c r="U46" s="16"/>
    </row>
    <row r="47" customFormat="false" ht="23.85" hidden="false" customHeight="false" outlineLevel="0" collapsed="false">
      <c r="A47" s="13" t="s">
        <v>276</v>
      </c>
      <c r="B47" s="13" t="s">
        <v>270</v>
      </c>
      <c r="C47" s="4" t="s">
        <v>154</v>
      </c>
      <c r="D47" s="4" t="s">
        <v>277</v>
      </c>
      <c r="E47" s="9" t="s">
        <v>34</v>
      </c>
      <c r="F47" s="13" t="n">
        <v>8</v>
      </c>
      <c r="G47" s="13" t="n">
        <v>8</v>
      </c>
      <c r="H47" s="13" t="n">
        <v>10</v>
      </c>
      <c r="I47" s="13" t="s">
        <v>119</v>
      </c>
      <c r="J47" s="4" t="s">
        <v>199</v>
      </c>
      <c r="K47" s="4" t="s">
        <v>278</v>
      </c>
      <c r="L47" s="15" t="s">
        <v>121</v>
      </c>
      <c r="M47" s="16"/>
      <c r="N47" s="16"/>
      <c r="O47" s="16"/>
      <c r="P47" s="16"/>
      <c r="Q47" s="16"/>
      <c r="R47" s="16"/>
      <c r="S47" s="16"/>
      <c r="T47" s="16"/>
      <c r="U47" s="16"/>
    </row>
    <row r="48" customFormat="false" ht="23.85" hidden="false" customHeight="false" outlineLevel="0" collapsed="false">
      <c r="A48" s="13" t="s">
        <v>279</v>
      </c>
      <c r="B48" s="13" t="s">
        <v>270</v>
      </c>
      <c r="C48" s="4" t="s">
        <v>280</v>
      </c>
      <c r="D48" s="4" t="s">
        <v>281</v>
      </c>
      <c r="E48" s="9" t="s">
        <v>34</v>
      </c>
      <c r="F48" s="13" t="n">
        <v>8</v>
      </c>
      <c r="G48" s="13" t="n">
        <v>8</v>
      </c>
      <c r="H48" s="13" t="n">
        <v>8</v>
      </c>
      <c r="I48" s="13" t="s">
        <v>119</v>
      </c>
      <c r="J48" s="4" t="s">
        <v>282</v>
      </c>
      <c r="K48" s="4" t="s">
        <v>283</v>
      </c>
      <c r="L48" s="15" t="s">
        <v>121</v>
      </c>
      <c r="M48" s="16"/>
      <c r="N48" s="16"/>
      <c r="O48" s="16"/>
      <c r="P48" s="16"/>
      <c r="Q48" s="16"/>
      <c r="R48" s="16"/>
      <c r="S48" s="16"/>
      <c r="T48" s="16"/>
      <c r="U48" s="16"/>
    </row>
    <row r="49" customFormat="false" ht="35.05" hidden="false" customHeight="false" outlineLevel="0" collapsed="false">
      <c r="A49" s="13" t="s">
        <v>284</v>
      </c>
      <c r="B49" s="13" t="s">
        <v>270</v>
      </c>
      <c r="C49" s="4" t="s">
        <v>209</v>
      </c>
      <c r="D49" s="4" t="s">
        <v>285</v>
      </c>
      <c r="E49" s="7" t="s">
        <v>30</v>
      </c>
      <c r="F49" s="13" t="n">
        <v>7</v>
      </c>
      <c r="G49" s="13" t="n">
        <v>7</v>
      </c>
      <c r="H49" s="13" t="n">
        <v>14</v>
      </c>
      <c r="I49" s="13" t="s">
        <v>119</v>
      </c>
      <c r="J49" s="4" t="s">
        <v>286</v>
      </c>
      <c r="K49" s="4" t="s">
        <v>287</v>
      </c>
      <c r="L49" s="15" t="s">
        <v>121</v>
      </c>
      <c r="M49" s="16"/>
      <c r="N49" s="16"/>
      <c r="O49" s="16"/>
      <c r="P49" s="16"/>
      <c r="Q49" s="16"/>
      <c r="R49" s="16"/>
      <c r="S49" s="16"/>
      <c r="T49" s="16"/>
      <c r="U49" s="16"/>
    </row>
    <row r="50" customFormat="false" ht="23.85" hidden="false" customHeight="false" outlineLevel="0" collapsed="false">
      <c r="A50" s="13" t="s">
        <v>288</v>
      </c>
      <c r="B50" s="13" t="s">
        <v>270</v>
      </c>
      <c r="C50" s="4" t="s">
        <v>209</v>
      </c>
      <c r="D50" s="4" t="s">
        <v>289</v>
      </c>
      <c r="E50" s="7" t="s">
        <v>30</v>
      </c>
      <c r="F50" s="13" t="n">
        <v>8</v>
      </c>
      <c r="G50" s="13" t="n">
        <v>8</v>
      </c>
      <c r="H50" s="13" t="n">
        <v>10</v>
      </c>
      <c r="I50" s="13" t="s">
        <v>179</v>
      </c>
      <c r="J50" s="4" t="s">
        <v>287</v>
      </c>
      <c r="K50" s="4" t="s">
        <v>290</v>
      </c>
      <c r="L50" s="15" t="s">
        <v>121</v>
      </c>
      <c r="M50" s="16"/>
      <c r="N50" s="16"/>
      <c r="O50" s="16"/>
      <c r="P50" s="16"/>
      <c r="Q50" s="16"/>
      <c r="R50" s="16"/>
      <c r="S50" s="16"/>
      <c r="T50" s="16"/>
      <c r="U50" s="16"/>
    </row>
    <row r="51" customFormat="false" ht="35.05" hidden="false" customHeight="false" outlineLevel="0" collapsed="false">
      <c r="A51" s="13" t="s">
        <v>291</v>
      </c>
      <c r="B51" s="13" t="s">
        <v>270</v>
      </c>
      <c r="C51" s="4" t="s">
        <v>12</v>
      </c>
      <c r="D51" s="4" t="s">
        <v>292</v>
      </c>
      <c r="E51" s="10" t="s">
        <v>38</v>
      </c>
      <c r="F51" s="13" t="n">
        <v>7</v>
      </c>
      <c r="G51" s="13" t="n">
        <v>7</v>
      </c>
      <c r="H51" s="13" t="n">
        <v>14</v>
      </c>
      <c r="I51" s="13" t="s">
        <v>119</v>
      </c>
      <c r="J51" s="4" t="s">
        <v>293</v>
      </c>
      <c r="K51" s="4" t="s">
        <v>294</v>
      </c>
      <c r="L51" s="15" t="s">
        <v>121</v>
      </c>
      <c r="M51" s="16"/>
      <c r="N51" s="16"/>
      <c r="O51" s="16"/>
      <c r="P51" s="16"/>
      <c r="Q51" s="16"/>
      <c r="R51" s="16"/>
      <c r="S51" s="16"/>
      <c r="T51" s="16"/>
      <c r="U51" s="16"/>
    </row>
    <row r="52" customFormat="false" ht="35.05" hidden="false" customHeight="false" outlineLevel="0" collapsed="false">
      <c r="A52" s="13" t="s">
        <v>295</v>
      </c>
      <c r="B52" s="13" t="s">
        <v>270</v>
      </c>
      <c r="C52" s="4" t="s">
        <v>12</v>
      </c>
      <c r="D52" s="4" t="s">
        <v>296</v>
      </c>
      <c r="E52" s="10" t="s">
        <v>38</v>
      </c>
      <c r="F52" s="13" t="n">
        <v>8</v>
      </c>
      <c r="G52" s="13" t="n">
        <v>8</v>
      </c>
      <c r="H52" s="13" t="n">
        <v>16</v>
      </c>
      <c r="I52" s="13" t="s">
        <v>119</v>
      </c>
      <c r="J52" s="4" t="s">
        <v>297</v>
      </c>
      <c r="K52" s="4" t="s">
        <v>298</v>
      </c>
      <c r="L52" s="15" t="s">
        <v>121</v>
      </c>
      <c r="M52" s="16"/>
      <c r="N52" s="16"/>
      <c r="O52" s="16"/>
      <c r="P52" s="16"/>
      <c r="Q52" s="16"/>
      <c r="R52" s="16"/>
      <c r="S52" s="16"/>
      <c r="T52" s="16"/>
      <c r="U52" s="16"/>
    </row>
    <row r="53" customFormat="false" ht="15" hidden="false" customHeight="false" outlineLevel="0" collapsed="false">
      <c r="A53" s="13" t="s">
        <v>299</v>
      </c>
      <c r="B53" s="13" t="s">
        <v>270</v>
      </c>
      <c r="C53" s="4" t="s">
        <v>12</v>
      </c>
      <c r="D53" s="4" t="s">
        <v>300</v>
      </c>
      <c r="E53" s="7" t="s">
        <v>30</v>
      </c>
      <c r="F53" s="13" t="n">
        <v>8</v>
      </c>
      <c r="G53" s="13" t="n">
        <v>8</v>
      </c>
      <c r="H53" s="13" t="n">
        <v>4</v>
      </c>
      <c r="I53" s="13" t="s">
        <v>301</v>
      </c>
      <c r="J53" s="4" t="s">
        <v>302</v>
      </c>
      <c r="K53" s="4" t="s">
        <v>303</v>
      </c>
      <c r="L53" s="15" t="s">
        <v>121</v>
      </c>
      <c r="M53" s="16"/>
      <c r="N53" s="16"/>
      <c r="O53" s="16"/>
      <c r="P53" s="16"/>
      <c r="Q53" s="16"/>
      <c r="R53" s="16"/>
      <c r="S53" s="16"/>
      <c r="T53" s="16"/>
      <c r="U53" s="16"/>
    </row>
    <row r="54" customFormat="false" ht="15" hidden="false" customHeight="false" outlineLevel="0" collapsed="false">
      <c r="A54" s="13" t="s">
        <v>304</v>
      </c>
      <c r="B54" s="13" t="s">
        <v>270</v>
      </c>
      <c r="C54" s="4" t="s">
        <v>116</v>
      </c>
      <c r="D54" s="4" t="s">
        <v>305</v>
      </c>
      <c r="E54" s="14" t="s">
        <v>118</v>
      </c>
      <c r="F54" s="13" t="n">
        <v>8</v>
      </c>
      <c r="G54" s="13" t="n">
        <v>8</v>
      </c>
      <c r="H54" s="13" t="n">
        <v>2</v>
      </c>
      <c r="I54" s="13" t="s">
        <v>179</v>
      </c>
      <c r="J54" s="4"/>
      <c r="K54" s="4" t="s">
        <v>306</v>
      </c>
      <c r="L54" s="15" t="s">
        <v>121</v>
      </c>
      <c r="M54" s="16"/>
      <c r="N54" s="16"/>
      <c r="O54" s="16"/>
      <c r="P54" s="16"/>
      <c r="Q54" s="16"/>
      <c r="R54" s="16"/>
      <c r="S54" s="16"/>
      <c r="T54" s="16"/>
      <c r="U54" s="16"/>
    </row>
    <row r="55" customFormat="false" ht="23.85" hidden="false" customHeight="false" outlineLevel="0" collapsed="false">
      <c r="A55" s="13" t="s">
        <v>307</v>
      </c>
      <c r="B55" s="13" t="s">
        <v>308</v>
      </c>
      <c r="C55" s="4" t="s">
        <v>280</v>
      </c>
      <c r="D55" s="4" t="s">
        <v>309</v>
      </c>
      <c r="E55" s="14" t="s">
        <v>118</v>
      </c>
      <c r="F55" s="13" t="n">
        <v>9</v>
      </c>
      <c r="G55" s="13" t="n">
        <v>9</v>
      </c>
      <c r="H55" s="13" t="n">
        <v>12</v>
      </c>
      <c r="I55" s="13" t="s">
        <v>119</v>
      </c>
      <c r="J55" s="4" t="s">
        <v>310</v>
      </c>
      <c r="K55" s="4" t="s">
        <v>311</v>
      </c>
      <c r="L55" s="15" t="s">
        <v>121</v>
      </c>
      <c r="M55" s="16"/>
      <c r="N55" s="16"/>
      <c r="O55" s="16"/>
      <c r="P55" s="16"/>
      <c r="Q55" s="16"/>
      <c r="R55" s="16"/>
      <c r="S55" s="16"/>
      <c r="T55" s="16"/>
      <c r="U55" s="16"/>
    </row>
    <row r="56" customFormat="false" ht="23.85" hidden="false" customHeight="false" outlineLevel="0" collapsed="false">
      <c r="A56" s="13" t="s">
        <v>312</v>
      </c>
      <c r="B56" s="13" t="s">
        <v>308</v>
      </c>
      <c r="C56" s="4" t="s">
        <v>123</v>
      </c>
      <c r="D56" s="4" t="s">
        <v>313</v>
      </c>
      <c r="E56" s="7" t="s">
        <v>30</v>
      </c>
      <c r="F56" s="13" t="n">
        <v>9</v>
      </c>
      <c r="G56" s="13" t="n">
        <v>9</v>
      </c>
      <c r="H56" s="13" t="n">
        <v>6</v>
      </c>
      <c r="I56" s="13" t="s">
        <v>119</v>
      </c>
      <c r="J56" s="4"/>
      <c r="K56" s="4" t="s">
        <v>314</v>
      </c>
      <c r="L56" s="15" t="s">
        <v>121</v>
      </c>
      <c r="M56" s="16"/>
      <c r="N56" s="16"/>
      <c r="O56" s="16"/>
      <c r="P56" s="16"/>
      <c r="Q56" s="16"/>
      <c r="R56" s="16"/>
      <c r="S56" s="16"/>
      <c r="T56" s="16"/>
      <c r="U56" s="16"/>
    </row>
    <row r="57" customFormat="false" ht="23.85" hidden="false" customHeight="false" outlineLevel="0" collapsed="false">
      <c r="A57" s="13" t="s">
        <v>315</v>
      </c>
      <c r="B57" s="13" t="s">
        <v>308</v>
      </c>
      <c r="C57" s="4" t="s">
        <v>12</v>
      </c>
      <c r="D57" s="4" t="s">
        <v>316</v>
      </c>
      <c r="E57" s="10" t="s">
        <v>38</v>
      </c>
      <c r="F57" s="13" t="n">
        <v>9</v>
      </c>
      <c r="G57" s="13" t="n">
        <v>9</v>
      </c>
      <c r="H57" s="13" t="n">
        <v>6</v>
      </c>
      <c r="I57" s="13" t="s">
        <v>179</v>
      </c>
      <c r="J57" s="4"/>
      <c r="K57" s="4" t="s">
        <v>317</v>
      </c>
      <c r="L57" s="15" t="s">
        <v>121</v>
      </c>
      <c r="M57" s="16"/>
      <c r="N57" s="16"/>
      <c r="O57" s="16"/>
      <c r="P57" s="16"/>
      <c r="Q57" s="16"/>
      <c r="R57" s="16"/>
      <c r="S57" s="16"/>
      <c r="T57" s="16"/>
      <c r="U57" s="16"/>
    </row>
    <row r="58" customFormat="false" ht="23.85" hidden="false" customHeight="false" outlineLevel="0" collapsed="false">
      <c r="A58" s="13" t="s">
        <v>318</v>
      </c>
      <c r="B58" s="13" t="s">
        <v>308</v>
      </c>
      <c r="C58" s="4" t="s">
        <v>319</v>
      </c>
      <c r="D58" s="4" t="s">
        <v>320</v>
      </c>
      <c r="E58" s="14" t="s">
        <v>118</v>
      </c>
      <c r="F58" s="13" t="n">
        <v>9</v>
      </c>
      <c r="G58" s="13" t="n">
        <v>9</v>
      </c>
      <c r="H58" s="13" t="n">
        <v>10</v>
      </c>
      <c r="I58" s="13" t="s">
        <v>119</v>
      </c>
      <c r="J58" s="4"/>
      <c r="K58" s="4" t="s">
        <v>321</v>
      </c>
      <c r="L58" s="15" t="s">
        <v>121</v>
      </c>
      <c r="M58" s="16"/>
      <c r="N58" s="16"/>
      <c r="O58" s="16"/>
      <c r="P58" s="16"/>
      <c r="Q58" s="16"/>
      <c r="R58" s="16"/>
      <c r="S58" s="16"/>
      <c r="T58" s="16"/>
      <c r="U58" s="16"/>
    </row>
  </sheetData>
  <autoFilter ref="A4:L58"/>
  <conditionalFormatting sqref="M5:U58">
    <cfRule type="expression" priority="2" aboveAverage="0" equalAverage="0" bottom="0" percent="0" rank="0" text="" dxfId="8">
      <formula>AND(M$3&gt;=$F5,M$3&lt;=$G5,$E5="Nhật")</formula>
    </cfRule>
    <cfRule type="expression" priority="3" aboveAverage="0" equalAverage="0" bottom="0" percent="0" rank="0" text="" dxfId="9">
      <formula>AND(M$3&gt;=$F5,M$3&lt;=$G5,$E5="Quân")</formula>
    </cfRule>
    <cfRule type="expression" priority="4" aboveAverage="0" equalAverage="0" bottom="0" percent="0" rank="0" text="" dxfId="10">
      <formula>AND(M$3&gt;=$F5,M$3&lt;=$G5,$E5="Nghĩa")</formula>
    </cfRule>
    <cfRule type="expression" priority="5" aboveAverage="0" equalAverage="0" bottom="0" percent="0" rank="0" text="" dxfId="11">
      <formula>AND(M$3&gt;=$F5,M$3&lt;=$G5,$E5="Cả nhóm")</formula>
    </cfRule>
  </conditionalFormatting>
  <conditionalFormatting sqref="L5:L58">
    <cfRule type="expression" priority="6" aboveAverage="0" equalAverage="0" bottom="0" percent="0" rank="0" text="" dxfId="12">
      <formula>$L5="Hoàn thành"</formula>
    </cfRule>
    <cfRule type="expression" priority="7" aboveAverage="0" equalAverage="0" bottom="0" percent="0" rank="0" text="" dxfId="13">
      <formula>$L5="Đang làm"</formula>
    </cfRule>
    <cfRule type="expression" priority="8" aboveAverage="0" equalAverage="0" bottom="0" percent="0" rank="0" text="" dxfId="14">
      <formula>$L5="Trễ"</formula>
    </cfRule>
  </conditionalFormatting>
  <dataValidations count="2">
    <dataValidation allowBlank="true" errorStyle="stop" operator="between" showDropDown="false" showErrorMessage="false" showInputMessage="false" sqref="L5:L58" type="list">
      <formula1>"Chưa bắt đầu,Đang làm,Review,Hoàn thành,Trễ"</formula1>
      <formula2>0</formula2>
    </dataValidation>
    <dataValidation allowBlank="false" errorStyle="stop" operator="between" showDropDown="false" showErrorMessage="false" showInputMessage="false" sqref="E5:E58" type="list">
      <formula1>"Nhật,Quân,Nghĩa,Cả nhóm"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10" min="2" style="0" width="8"/>
    <col collapsed="false" customWidth="true" hidden="false" outlineLevel="0" max="11" min="11" style="0" width="10"/>
    <col collapsed="false" customWidth="true" hidden="false" outlineLevel="0" max="12" min="12" style="0" width="9"/>
    <col collapsed="false" customWidth="true" hidden="false" outlineLevel="0" max="13" min="13" style="0" width="11"/>
    <col collapsed="false" customWidth="true" hidden="false" outlineLevel="0" max="14" min="14" style="0" width="12"/>
  </cols>
  <sheetData>
    <row r="1" customFormat="false" ht="17.35" hidden="false" customHeight="false" outlineLevel="0" collapsed="false">
      <c r="A1" s="1" t="s">
        <v>322</v>
      </c>
    </row>
    <row r="2" customFormat="false" ht="15" hidden="false" customHeight="false" outlineLevel="0" collapsed="false">
      <c r="A2" s="2" t="s">
        <v>323</v>
      </c>
    </row>
    <row r="4" customFormat="false" ht="23.85" hidden="false" customHeight="false" outlineLevel="0" collapsed="false">
      <c r="A4" s="6" t="s">
        <v>97</v>
      </c>
      <c r="B4" s="6" t="s">
        <v>324</v>
      </c>
      <c r="C4" s="6" t="s">
        <v>325</v>
      </c>
      <c r="D4" s="6" t="s">
        <v>326</v>
      </c>
      <c r="E4" s="6" t="s">
        <v>327</v>
      </c>
      <c r="F4" s="6" t="s">
        <v>328</v>
      </c>
      <c r="G4" s="6" t="s">
        <v>329</v>
      </c>
      <c r="H4" s="6" t="s">
        <v>330</v>
      </c>
      <c r="I4" s="6" t="s">
        <v>331</v>
      </c>
      <c r="J4" s="6" t="s">
        <v>332</v>
      </c>
      <c r="K4" s="6" t="s">
        <v>333</v>
      </c>
      <c r="L4" s="6" t="s">
        <v>334</v>
      </c>
      <c r="M4" s="6" t="s">
        <v>335</v>
      </c>
      <c r="N4" s="6" t="s">
        <v>336</v>
      </c>
    </row>
    <row r="5" customFormat="false" ht="15" hidden="false" customHeight="false" outlineLevel="0" collapsed="false">
      <c r="A5" s="7" t="s">
        <v>30</v>
      </c>
      <c r="B5" s="17" t="n">
        <f aca="false">SUMPRODUCT((('Kế hoạch &amp; Chia việc'!$E$5:$E$58="Nhật")+('Kế hoạch &amp; Chia việc'!$E$5:$E$58="Cả nhóm"))*('Kế hoạch &amp; Chia việc'!$F$5:$F$58&lt;=1)*('Kế hoạch &amp; Chia việc'!$G$5:$G$58&gt;=1)*'Kế hoạch &amp; Chia việc'!$H$5:$H$58/('Kế hoạch &amp; Chia việc'!$G$5:$G$58-'Kế hoạch &amp; Chia việc'!$F$5:$F$58+1))</f>
        <v>24</v>
      </c>
      <c r="C5" s="17" t="n">
        <f aca="false">SUMPRODUCT((('Kế hoạch &amp; Chia việc'!$E$5:$E$58="Nhật")+('Kế hoạch &amp; Chia việc'!$E$5:$E$58="Cả nhóm"))*('Kế hoạch &amp; Chia việc'!$F$5:$F$58&lt;=2)*('Kế hoạch &amp; Chia việc'!$G$5:$G$58&gt;=2)*'Kế hoạch &amp; Chia việc'!$H$5:$H$58/('Kế hoạch &amp; Chia việc'!$G$5:$G$58-'Kế hoạch &amp; Chia việc'!$F$5:$F$58+1))</f>
        <v>30</v>
      </c>
      <c r="D5" s="17" t="n">
        <f aca="false">SUMPRODUCT((('Kế hoạch &amp; Chia việc'!$E$5:$E$58="Nhật")+('Kế hoạch &amp; Chia việc'!$E$5:$E$58="Cả nhóm"))*('Kế hoạch &amp; Chia việc'!$F$5:$F$58&lt;=3)*('Kế hoạch &amp; Chia việc'!$G$5:$G$58&gt;=3)*'Kế hoạch &amp; Chia việc'!$H$5:$H$58/('Kế hoạch &amp; Chia việc'!$G$5:$G$58-'Kế hoạch &amp; Chia việc'!$F$5:$F$58+1))</f>
        <v>21</v>
      </c>
      <c r="E5" s="17" t="n">
        <f aca="false">SUMPRODUCT((('Kế hoạch &amp; Chia việc'!$E$5:$E$58="Nhật")+('Kế hoạch &amp; Chia việc'!$E$5:$E$58="Cả nhóm"))*('Kế hoạch &amp; Chia việc'!$F$5:$F$58&lt;=4)*('Kế hoạch &amp; Chia việc'!$G$5:$G$58&gt;=4)*'Kế hoạch &amp; Chia việc'!$H$5:$H$58/('Kế hoạch &amp; Chia việc'!$G$5:$G$58-'Kế hoạch &amp; Chia việc'!$F$5:$F$58+1))</f>
        <v>17</v>
      </c>
      <c r="F5" s="17" t="n">
        <f aca="false">SUMPRODUCT((('Kế hoạch &amp; Chia việc'!$E$5:$E$58="Nhật")+('Kế hoạch &amp; Chia việc'!$E$5:$E$58="Cả nhóm"))*('Kế hoạch &amp; Chia việc'!$F$5:$F$58&lt;=5)*('Kế hoạch &amp; Chia việc'!$G$5:$G$58&gt;=5)*'Kế hoạch &amp; Chia việc'!$H$5:$H$58/('Kế hoạch &amp; Chia việc'!$G$5:$G$58-'Kế hoạch &amp; Chia việc'!$F$5:$F$58+1))</f>
        <v>15</v>
      </c>
      <c r="G5" s="17" t="n">
        <f aca="false">SUMPRODUCT((('Kế hoạch &amp; Chia việc'!$E$5:$E$58="Nhật")+('Kế hoạch &amp; Chia việc'!$E$5:$E$58="Cả nhóm"))*('Kế hoạch &amp; Chia việc'!$F$5:$F$58&lt;=6)*('Kế hoạch &amp; Chia việc'!$G$5:$G$58&gt;=6)*'Kế hoạch &amp; Chia việc'!$H$5:$H$58/('Kế hoạch &amp; Chia việc'!$G$5:$G$58-'Kế hoạch &amp; Chia việc'!$F$5:$F$58+1))</f>
        <v>15</v>
      </c>
      <c r="H5" s="17" t="n">
        <f aca="false">SUMPRODUCT((('Kế hoạch &amp; Chia việc'!$E$5:$E$58="Nhật")+('Kế hoạch &amp; Chia việc'!$E$5:$E$58="Cả nhóm"))*('Kế hoạch &amp; Chia việc'!$F$5:$F$58&lt;=7)*('Kế hoạch &amp; Chia việc'!$G$5:$G$58&gt;=7)*'Kế hoạch &amp; Chia việc'!$H$5:$H$58/('Kế hoạch &amp; Chia việc'!$G$5:$G$58-'Kế hoạch &amp; Chia việc'!$F$5:$F$58+1))</f>
        <v>14</v>
      </c>
      <c r="I5" s="17" t="n">
        <f aca="false">SUMPRODUCT((('Kế hoạch &amp; Chia việc'!$E$5:$E$58="Nhật")+('Kế hoạch &amp; Chia việc'!$E$5:$E$58="Cả nhóm"))*('Kế hoạch &amp; Chia việc'!$F$5:$F$58&lt;=8)*('Kế hoạch &amp; Chia việc'!$G$5:$G$58&gt;=8)*'Kế hoạch &amp; Chia việc'!$H$5:$H$58/('Kế hoạch &amp; Chia việc'!$G$5:$G$58-'Kế hoạch &amp; Chia việc'!$F$5:$F$58+1))</f>
        <v>16</v>
      </c>
      <c r="J5" s="17" t="n">
        <f aca="false">SUMPRODUCT((('Kế hoạch &amp; Chia việc'!$E$5:$E$58="Nhật")+('Kế hoạch &amp; Chia việc'!$E$5:$E$58="Cả nhóm"))*('Kế hoạch &amp; Chia việc'!$F$5:$F$58&lt;=9)*('Kế hoạch &amp; Chia việc'!$G$5:$G$58&gt;=9)*'Kế hoạch &amp; Chia việc'!$H$5:$H$58/('Kế hoạch &amp; Chia việc'!$G$5:$G$58-'Kế hoạch &amp; Chia việc'!$F$5:$F$58+1))</f>
        <v>28</v>
      </c>
      <c r="K5" s="17" t="n">
        <f aca="false">SUM(B5:J5)</f>
        <v>180</v>
      </c>
      <c r="L5" s="13" t="n">
        <f aca="false">COUNTIF('Kế hoạch &amp; Chia việc'!$E$5:$E$58,"Nhật")+COUNTIF('Kế hoạch &amp; Chia việc'!$E$5:$E$58,"Cả nhóm")</f>
        <v>24</v>
      </c>
      <c r="M5" s="13" t="n">
        <f aca="false">COUNTIFS('Kế hoạch &amp; Chia việc'!$E$5:$E$58,"Nhật",'Kế hoạch &amp; Chia việc'!$L$5:$L$58,"Hoàn thành")+COUNTIFS('Kế hoạch &amp; Chia việc'!$E$5:$E$58,"Cả nhóm",'Kế hoạch &amp; Chia việc'!$L$5:$L$58,"Hoàn thành")</f>
        <v>0</v>
      </c>
      <c r="N5" s="18" t="n">
        <f aca="false">IF(L5=0,0,M5/L5)</f>
        <v>0</v>
      </c>
    </row>
    <row r="6" customFormat="false" ht="15" hidden="false" customHeight="false" outlineLevel="0" collapsed="false">
      <c r="A6" s="9" t="s">
        <v>34</v>
      </c>
      <c r="B6" s="17" t="n">
        <f aca="false">SUMPRODUCT((('Kế hoạch &amp; Chia việc'!$E$5:$E$58="Quân")+('Kế hoạch &amp; Chia việc'!$E$5:$E$58="Cả nhóm"))*('Kế hoạch &amp; Chia việc'!$F$5:$F$58&lt;=1)*('Kế hoạch &amp; Chia việc'!$G$5:$G$58&gt;=1)*'Kế hoạch &amp; Chia việc'!$H$5:$H$58/('Kế hoạch &amp; Chia việc'!$G$5:$G$58-'Kế hoạch &amp; Chia việc'!$F$5:$F$58+1))</f>
        <v>23</v>
      </c>
      <c r="C6" s="17" t="n">
        <f aca="false">SUMPRODUCT((('Kế hoạch &amp; Chia việc'!$E$5:$E$58="Quân")+('Kế hoạch &amp; Chia việc'!$E$5:$E$58="Cả nhóm"))*('Kế hoạch &amp; Chia việc'!$F$5:$F$58&lt;=2)*('Kế hoạch &amp; Chia việc'!$G$5:$G$58&gt;=2)*'Kế hoạch &amp; Chia việc'!$H$5:$H$58/('Kế hoạch &amp; Chia việc'!$G$5:$G$58-'Kế hoạch &amp; Chia việc'!$F$5:$F$58+1))</f>
        <v>16</v>
      </c>
      <c r="D6" s="17" t="n">
        <f aca="false">SUMPRODUCT((('Kế hoạch &amp; Chia việc'!$E$5:$E$58="Quân")+('Kế hoạch &amp; Chia việc'!$E$5:$E$58="Cả nhóm"))*('Kế hoạch &amp; Chia việc'!$F$5:$F$58&lt;=3)*('Kế hoạch &amp; Chia việc'!$G$5:$G$58&gt;=3)*'Kế hoạch &amp; Chia việc'!$H$5:$H$58/('Kế hoạch &amp; Chia việc'!$G$5:$G$58-'Kế hoạch &amp; Chia việc'!$F$5:$F$58+1))</f>
        <v>15</v>
      </c>
      <c r="E6" s="17" t="n">
        <f aca="false">SUMPRODUCT((('Kế hoạch &amp; Chia việc'!$E$5:$E$58="Quân")+('Kế hoạch &amp; Chia việc'!$E$5:$E$58="Cả nhóm"))*('Kế hoạch &amp; Chia việc'!$F$5:$F$58&lt;=4)*('Kế hoạch &amp; Chia việc'!$G$5:$G$58&gt;=4)*'Kế hoạch &amp; Chia việc'!$H$5:$H$58/('Kế hoạch &amp; Chia việc'!$G$5:$G$58-'Kế hoạch &amp; Chia việc'!$F$5:$F$58+1))</f>
        <v>25</v>
      </c>
      <c r="F6" s="17" t="n">
        <f aca="false">SUMPRODUCT((('Kế hoạch &amp; Chia việc'!$E$5:$E$58="Quân")+('Kế hoạch &amp; Chia việc'!$E$5:$E$58="Cả nhóm"))*('Kế hoạch &amp; Chia việc'!$F$5:$F$58&lt;=5)*('Kế hoạch &amp; Chia việc'!$G$5:$G$58&gt;=5)*'Kế hoạch &amp; Chia việc'!$H$5:$H$58/('Kế hoạch &amp; Chia việc'!$G$5:$G$58-'Kế hoạch &amp; Chia việc'!$F$5:$F$58+1))</f>
        <v>20</v>
      </c>
      <c r="G6" s="17" t="n">
        <f aca="false">SUMPRODUCT((('Kế hoạch &amp; Chia việc'!$E$5:$E$58="Quân")+('Kế hoạch &amp; Chia việc'!$E$5:$E$58="Cả nhóm"))*('Kế hoạch &amp; Chia việc'!$F$5:$F$58&lt;=6)*('Kế hoạch &amp; Chia việc'!$G$5:$G$58&gt;=6)*'Kế hoạch &amp; Chia việc'!$H$5:$H$58/('Kế hoạch &amp; Chia việc'!$G$5:$G$58-'Kế hoạch &amp; Chia việc'!$F$5:$F$58+1))</f>
        <v>18</v>
      </c>
      <c r="H6" s="17" t="n">
        <f aca="false">SUMPRODUCT((('Kế hoạch &amp; Chia việc'!$E$5:$E$58="Quân")+('Kế hoạch &amp; Chia việc'!$E$5:$E$58="Cả nhóm"))*('Kế hoạch &amp; Chia việc'!$F$5:$F$58&lt;=7)*('Kế hoạch &amp; Chia việc'!$G$5:$G$58&gt;=7)*'Kế hoạch &amp; Chia việc'!$H$5:$H$58/('Kế hoạch &amp; Chia việc'!$G$5:$G$58-'Kế hoạch &amp; Chia việc'!$F$5:$F$58+1))</f>
        <v>20</v>
      </c>
      <c r="I6" s="17" t="n">
        <f aca="false">SUMPRODUCT((('Kế hoạch &amp; Chia việc'!$E$5:$E$58="Quân")+('Kế hoạch &amp; Chia việc'!$E$5:$E$58="Cả nhóm"))*('Kế hoạch &amp; Chia việc'!$F$5:$F$58&lt;=8)*('Kế hoạch &amp; Chia việc'!$G$5:$G$58&gt;=8)*'Kế hoạch &amp; Chia việc'!$H$5:$H$58/('Kế hoạch &amp; Chia việc'!$G$5:$G$58-'Kế hoạch &amp; Chia việc'!$F$5:$F$58+1))</f>
        <v>20</v>
      </c>
      <c r="J6" s="17" t="n">
        <f aca="false">SUMPRODUCT((('Kế hoạch &amp; Chia việc'!$E$5:$E$58="Quân")+('Kế hoạch &amp; Chia việc'!$E$5:$E$58="Cả nhóm"))*('Kế hoạch &amp; Chia việc'!$F$5:$F$58&lt;=9)*('Kế hoạch &amp; Chia việc'!$G$5:$G$58&gt;=9)*'Kế hoạch &amp; Chia việc'!$H$5:$H$58/('Kế hoạch &amp; Chia việc'!$G$5:$G$58-'Kế hoạch &amp; Chia việc'!$F$5:$F$58+1))</f>
        <v>22</v>
      </c>
      <c r="K6" s="17" t="n">
        <f aca="false">SUM(B6:J6)</f>
        <v>179</v>
      </c>
      <c r="L6" s="13" t="n">
        <f aca="false">COUNTIF('Kế hoạch &amp; Chia việc'!$E$5:$E$58,"Quân")+COUNTIF('Kế hoạch &amp; Chia việc'!$E$5:$E$58,"Cả nhóm")</f>
        <v>22</v>
      </c>
      <c r="M6" s="13" t="n">
        <f aca="false">COUNTIFS('Kế hoạch &amp; Chia việc'!$E$5:$E$58,"Quân",'Kế hoạch &amp; Chia việc'!$L$5:$L$58,"Hoàn thành")+COUNTIFS('Kế hoạch &amp; Chia việc'!$E$5:$E$58,"Cả nhóm",'Kế hoạch &amp; Chia việc'!$L$5:$L$58,"Hoàn thành")</f>
        <v>0</v>
      </c>
      <c r="N6" s="18" t="n">
        <f aca="false">IF(L6=0,0,M6/L6)</f>
        <v>0</v>
      </c>
    </row>
    <row r="7" customFormat="false" ht="15" hidden="false" customHeight="false" outlineLevel="0" collapsed="false">
      <c r="A7" s="10" t="s">
        <v>38</v>
      </c>
      <c r="B7" s="17" t="n">
        <f aca="false">SUMPRODUCT((('Kế hoạch &amp; Chia việc'!$E$5:$E$58="Nghĩa")+('Kế hoạch &amp; Chia việc'!$E$5:$E$58="Cả nhóm"))*('Kế hoạch &amp; Chia việc'!$F$5:$F$58&lt;=1)*('Kế hoạch &amp; Chia việc'!$G$5:$G$58&gt;=1)*'Kế hoạch &amp; Chia việc'!$H$5:$H$58/('Kế hoạch &amp; Chia việc'!$G$5:$G$58-'Kế hoạch &amp; Chia việc'!$F$5:$F$58+1))</f>
        <v>24</v>
      </c>
      <c r="C7" s="17" t="n">
        <f aca="false">SUMPRODUCT((('Kế hoạch &amp; Chia việc'!$E$5:$E$58="Nghĩa")+('Kế hoạch &amp; Chia việc'!$E$5:$E$58="Cả nhóm"))*('Kế hoạch &amp; Chia việc'!$F$5:$F$58&lt;=2)*('Kế hoạch &amp; Chia việc'!$G$5:$G$58&gt;=2)*'Kế hoạch &amp; Chia việc'!$H$5:$H$58/('Kế hoạch &amp; Chia việc'!$G$5:$G$58-'Kế hoạch &amp; Chia việc'!$F$5:$F$58+1))</f>
        <v>28</v>
      </c>
      <c r="D7" s="17" t="n">
        <f aca="false">SUMPRODUCT((('Kế hoạch &amp; Chia việc'!$E$5:$E$58="Nghĩa")+('Kế hoạch &amp; Chia việc'!$E$5:$E$58="Cả nhóm"))*('Kế hoạch &amp; Chia việc'!$F$5:$F$58&lt;=3)*('Kế hoạch &amp; Chia việc'!$G$5:$G$58&gt;=3)*'Kế hoạch &amp; Chia việc'!$H$5:$H$58/('Kế hoạch &amp; Chia việc'!$G$5:$G$58-'Kế hoạch &amp; Chia việc'!$F$5:$F$58+1))</f>
        <v>21</v>
      </c>
      <c r="E7" s="17" t="n">
        <f aca="false">SUMPRODUCT((('Kế hoạch &amp; Chia việc'!$E$5:$E$58="Nghĩa")+('Kế hoạch &amp; Chia việc'!$E$5:$E$58="Cả nhóm"))*('Kế hoạch &amp; Chia việc'!$F$5:$F$58&lt;=4)*('Kế hoạch &amp; Chia việc'!$G$5:$G$58&gt;=4)*'Kế hoạch &amp; Chia việc'!$H$5:$H$58/('Kế hoạch &amp; Chia việc'!$G$5:$G$58-'Kế hoạch &amp; Chia việc'!$F$5:$F$58+1))</f>
        <v>23</v>
      </c>
      <c r="F7" s="17" t="n">
        <f aca="false">SUMPRODUCT((('Kế hoạch &amp; Chia việc'!$E$5:$E$58="Nghĩa")+('Kế hoạch &amp; Chia việc'!$E$5:$E$58="Cả nhóm"))*('Kế hoạch &amp; Chia việc'!$F$5:$F$58&lt;=5)*('Kế hoạch &amp; Chia việc'!$G$5:$G$58&gt;=5)*'Kế hoạch &amp; Chia việc'!$H$5:$H$58/('Kế hoạch &amp; Chia việc'!$G$5:$G$58-'Kế hoạch &amp; Chia việc'!$F$5:$F$58+1))</f>
        <v>14</v>
      </c>
      <c r="G7" s="17" t="n">
        <f aca="false">SUMPRODUCT((('Kế hoạch &amp; Chia việc'!$E$5:$E$58="Nghĩa")+('Kế hoạch &amp; Chia việc'!$E$5:$E$58="Cả nhóm"))*('Kế hoạch &amp; Chia việc'!$F$5:$F$58&lt;=6)*('Kế hoạch &amp; Chia việc'!$G$5:$G$58&gt;=6)*'Kế hoạch &amp; Chia việc'!$H$5:$H$58/('Kế hoạch &amp; Chia việc'!$G$5:$G$58-'Kế hoạch &amp; Chia việc'!$F$5:$F$58+1))</f>
        <v>14</v>
      </c>
      <c r="H7" s="17" t="n">
        <f aca="false">SUMPRODUCT((('Kế hoạch &amp; Chia việc'!$E$5:$E$58="Nghĩa")+('Kế hoạch &amp; Chia việc'!$E$5:$E$58="Cả nhóm"))*('Kế hoạch &amp; Chia việc'!$F$5:$F$58&lt;=7)*('Kế hoạch &amp; Chia việc'!$G$5:$G$58&gt;=7)*'Kế hoạch &amp; Chia việc'!$H$5:$H$58/('Kế hoạch &amp; Chia việc'!$G$5:$G$58-'Kế hoạch &amp; Chia việc'!$F$5:$F$58+1))</f>
        <v>14</v>
      </c>
      <c r="I7" s="17" t="n">
        <f aca="false">SUMPRODUCT((('Kế hoạch &amp; Chia việc'!$E$5:$E$58="Nghĩa")+('Kế hoạch &amp; Chia việc'!$E$5:$E$58="Cả nhóm"))*('Kế hoạch &amp; Chia việc'!$F$5:$F$58&lt;=8)*('Kế hoạch &amp; Chia việc'!$G$5:$G$58&gt;=8)*'Kế hoạch &amp; Chia việc'!$H$5:$H$58/('Kế hoạch &amp; Chia việc'!$G$5:$G$58-'Kế hoạch &amp; Chia việc'!$F$5:$F$58+1))</f>
        <v>18</v>
      </c>
      <c r="J7" s="17" t="n">
        <f aca="false">SUMPRODUCT((('Kế hoạch &amp; Chia việc'!$E$5:$E$58="Nghĩa")+('Kế hoạch &amp; Chia việc'!$E$5:$E$58="Cả nhóm"))*('Kế hoạch &amp; Chia việc'!$F$5:$F$58&lt;=9)*('Kế hoạch &amp; Chia việc'!$G$5:$G$58&gt;=9)*'Kế hoạch &amp; Chia việc'!$H$5:$H$58/('Kế hoạch &amp; Chia việc'!$G$5:$G$58-'Kế hoạch &amp; Chia việc'!$F$5:$F$58+1))</f>
        <v>28</v>
      </c>
      <c r="K7" s="17" t="n">
        <f aca="false">SUM(B7:J7)</f>
        <v>184</v>
      </c>
      <c r="L7" s="13" t="n">
        <f aca="false">COUNTIF('Kế hoạch &amp; Chia việc'!$E$5:$E$58,"Nghĩa")+COUNTIF('Kế hoạch &amp; Chia việc'!$E$5:$E$58,"Cả nhóm")</f>
        <v>24</v>
      </c>
      <c r="M7" s="13" t="n">
        <f aca="false">COUNTIFS('Kế hoạch &amp; Chia việc'!$E$5:$E$58,"Nghĩa",'Kế hoạch &amp; Chia việc'!$L$5:$L$58,"Hoàn thành")+COUNTIFS('Kế hoạch &amp; Chia việc'!$E$5:$E$58,"Cả nhóm",'Kế hoạch &amp; Chia việc'!$L$5:$L$58,"Hoàn thành")</f>
        <v>0</v>
      </c>
      <c r="N7" s="18" t="n">
        <f aca="false">IF(L7=0,0,M7/L7)</f>
        <v>0</v>
      </c>
    </row>
    <row r="8" customFormat="false" ht="15" hidden="false" customHeight="false" outlineLevel="0" collapsed="false">
      <c r="A8" s="19" t="s">
        <v>337</v>
      </c>
      <c r="B8" s="20" t="n">
        <f aca="false">SUM(B5:B7)</f>
        <v>71</v>
      </c>
      <c r="C8" s="20" t="n">
        <f aca="false">SUM(C5:C7)</f>
        <v>74</v>
      </c>
      <c r="D8" s="20" t="n">
        <f aca="false">SUM(D5:D7)</f>
        <v>57</v>
      </c>
      <c r="E8" s="20" t="n">
        <f aca="false">SUM(E5:E7)</f>
        <v>65</v>
      </c>
      <c r="F8" s="20" t="n">
        <f aca="false">SUM(F5:F7)</f>
        <v>49</v>
      </c>
      <c r="G8" s="20" t="n">
        <f aca="false">SUM(G5:G7)</f>
        <v>47</v>
      </c>
      <c r="H8" s="20" t="n">
        <f aca="false">SUM(H5:H7)</f>
        <v>48</v>
      </c>
      <c r="I8" s="20" t="n">
        <f aca="false">SUM(I5:I7)</f>
        <v>54</v>
      </c>
      <c r="J8" s="20" t="n">
        <f aca="false">SUM(J5:J7)</f>
        <v>78</v>
      </c>
      <c r="K8" s="20" t="n">
        <f aca="false">SUM(K5:K7)</f>
        <v>543</v>
      </c>
      <c r="L8" s="21" t="n">
        <f aca="false">SUM(L5:L7)</f>
        <v>70</v>
      </c>
      <c r="M8" s="21" t="n">
        <f aca="false">SUM(M5:M7)</f>
        <v>0</v>
      </c>
      <c r="N8" s="22" t="n">
        <f aca="false">IF(L8=0,0,M8/L8)</f>
        <v>0</v>
      </c>
    </row>
    <row r="10" customFormat="false" ht="15" hidden="false" customHeight="false" outlineLevel="0" collapsed="false">
      <c r="A10" s="23" t="s">
        <v>338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13"/>
    <col collapsed="false" customWidth="true" hidden="false" outlineLevel="0" max="4" min="4" style="0" width="8"/>
    <col collapsed="false" customWidth="true" hidden="false" outlineLevel="0" max="5" min="5" style="0" width="42"/>
    <col collapsed="false" customWidth="true" hidden="false" outlineLevel="0" max="6" min="6" style="0" width="60"/>
    <col collapsed="false" customWidth="true" hidden="false" outlineLevel="0" max="7" min="7" style="0" width="26"/>
    <col collapsed="false" customWidth="true" hidden="false" outlineLevel="0" max="8" min="8" style="0" width="7"/>
    <col collapsed="false" customWidth="true" hidden="false" outlineLevel="0" max="9" min="9" style="0" width="8"/>
    <col collapsed="false" customWidth="true" hidden="false" outlineLevel="0" max="10" min="10" style="0" width="12"/>
    <col collapsed="false" customWidth="true" hidden="false" outlineLevel="0" max="11" min="11" style="0" width="14"/>
    <col collapsed="false" customWidth="true" hidden="false" outlineLevel="0" max="12" min="12" style="0" width="25"/>
  </cols>
  <sheetData>
    <row r="1" customFormat="false" ht="17.35" hidden="false" customHeight="false" outlineLevel="0" collapsed="false">
      <c r="A1" s="1" t="s">
        <v>339</v>
      </c>
    </row>
    <row r="2" customFormat="false" ht="15" hidden="false" customHeight="false" outlineLevel="0" collapsed="false">
      <c r="A2" s="2" t="s">
        <v>340</v>
      </c>
    </row>
    <row r="4" customFormat="false" ht="15" hidden="false" customHeight="false" outlineLevel="0" collapsed="false">
      <c r="A4" s="6" t="s">
        <v>341</v>
      </c>
      <c r="B4" s="6" t="s">
        <v>342</v>
      </c>
      <c r="C4" s="6" t="s">
        <v>343</v>
      </c>
      <c r="D4" s="6" t="s">
        <v>344</v>
      </c>
      <c r="E4" s="6" t="s">
        <v>345</v>
      </c>
      <c r="F4" s="6" t="s">
        <v>346</v>
      </c>
      <c r="G4" s="6" t="s">
        <v>347</v>
      </c>
      <c r="H4" s="6" t="s">
        <v>348</v>
      </c>
      <c r="I4" s="6" t="s">
        <v>101</v>
      </c>
      <c r="J4" s="6" t="s">
        <v>161</v>
      </c>
      <c r="K4" s="6" t="s">
        <v>104</v>
      </c>
      <c r="L4" s="6" t="s">
        <v>349</v>
      </c>
    </row>
    <row r="5" customFormat="false" ht="23.85" hidden="false" customHeight="false" outlineLevel="0" collapsed="false">
      <c r="A5" s="13" t="n">
        <v>1</v>
      </c>
      <c r="B5" s="4" t="s">
        <v>350</v>
      </c>
      <c r="C5" s="4" t="s">
        <v>150</v>
      </c>
      <c r="D5" s="24" t="s">
        <v>351</v>
      </c>
      <c r="E5" s="4" t="s">
        <v>352</v>
      </c>
      <c r="F5" s="4" t="s">
        <v>353</v>
      </c>
      <c r="G5" s="4" t="s">
        <v>354</v>
      </c>
      <c r="H5" s="13" t="s">
        <v>325</v>
      </c>
      <c r="I5" s="13" t="s">
        <v>119</v>
      </c>
      <c r="J5" s="4" t="s">
        <v>355</v>
      </c>
      <c r="K5" s="15" t="s">
        <v>356</v>
      </c>
      <c r="L5" s="4"/>
    </row>
    <row r="6" customFormat="false" ht="15" hidden="false" customHeight="false" outlineLevel="0" collapsed="false">
      <c r="A6" s="13" t="n">
        <v>2</v>
      </c>
      <c r="B6" s="4" t="s">
        <v>350</v>
      </c>
      <c r="C6" s="4" t="s">
        <v>150</v>
      </c>
      <c r="D6" s="24" t="s">
        <v>351</v>
      </c>
      <c r="E6" s="4" t="s">
        <v>357</v>
      </c>
      <c r="F6" s="4" t="s">
        <v>358</v>
      </c>
      <c r="G6" s="4" t="s">
        <v>354</v>
      </c>
      <c r="H6" s="13" t="s">
        <v>325</v>
      </c>
      <c r="I6" s="13" t="s">
        <v>119</v>
      </c>
      <c r="J6" s="4"/>
      <c r="K6" s="15" t="s">
        <v>356</v>
      </c>
      <c r="L6" s="4"/>
    </row>
    <row r="7" customFormat="false" ht="15" hidden="false" customHeight="false" outlineLevel="0" collapsed="false">
      <c r="A7" s="13" t="n">
        <v>3</v>
      </c>
      <c r="B7" s="4" t="s">
        <v>350</v>
      </c>
      <c r="C7" s="4" t="s">
        <v>150</v>
      </c>
      <c r="D7" s="24" t="s">
        <v>351</v>
      </c>
      <c r="E7" s="4" t="s">
        <v>359</v>
      </c>
      <c r="F7" s="4" t="s">
        <v>360</v>
      </c>
      <c r="G7" s="4" t="s">
        <v>361</v>
      </c>
      <c r="H7" s="13" t="s">
        <v>325</v>
      </c>
      <c r="I7" s="13" t="s">
        <v>119</v>
      </c>
      <c r="J7" s="4"/>
      <c r="K7" s="15" t="s">
        <v>356</v>
      </c>
      <c r="L7" s="4"/>
    </row>
    <row r="8" customFormat="false" ht="15" hidden="false" customHeight="false" outlineLevel="0" collapsed="false">
      <c r="A8" s="13" t="n">
        <v>4</v>
      </c>
      <c r="B8" s="4" t="s">
        <v>350</v>
      </c>
      <c r="C8" s="4" t="s">
        <v>150</v>
      </c>
      <c r="D8" s="25" t="s">
        <v>362</v>
      </c>
      <c r="E8" s="4" t="s">
        <v>363</v>
      </c>
      <c r="F8" s="4" t="s">
        <v>364</v>
      </c>
      <c r="G8" s="4" t="s">
        <v>361</v>
      </c>
      <c r="H8" s="13" t="s">
        <v>325</v>
      </c>
      <c r="I8" s="13" t="s">
        <v>119</v>
      </c>
      <c r="J8" s="4"/>
      <c r="K8" s="15" t="s">
        <v>356</v>
      </c>
      <c r="L8" s="4"/>
    </row>
    <row r="9" customFormat="false" ht="15" hidden="false" customHeight="false" outlineLevel="0" collapsed="false">
      <c r="A9" s="13" t="n">
        <v>5</v>
      </c>
      <c r="B9" s="4" t="s">
        <v>350</v>
      </c>
      <c r="C9" s="4" t="s">
        <v>365</v>
      </c>
      <c r="D9" s="25" t="s">
        <v>362</v>
      </c>
      <c r="E9" s="4" t="s">
        <v>366</v>
      </c>
      <c r="F9" s="4" t="s">
        <v>367</v>
      </c>
      <c r="G9" s="4" t="s">
        <v>354</v>
      </c>
      <c r="H9" s="13" t="s">
        <v>325</v>
      </c>
      <c r="I9" s="13" t="s">
        <v>119</v>
      </c>
      <c r="J9" s="4"/>
      <c r="K9" s="15" t="s">
        <v>356</v>
      </c>
      <c r="L9" s="4"/>
    </row>
    <row r="10" customFormat="false" ht="15" hidden="false" customHeight="false" outlineLevel="0" collapsed="false">
      <c r="A10" s="13" t="n">
        <v>6</v>
      </c>
      <c r="B10" s="4" t="s">
        <v>350</v>
      </c>
      <c r="C10" s="4" t="s">
        <v>368</v>
      </c>
      <c r="D10" s="25" t="s">
        <v>362</v>
      </c>
      <c r="E10" s="4" t="s">
        <v>369</v>
      </c>
      <c r="F10" s="4" t="s">
        <v>370</v>
      </c>
      <c r="G10" s="4" t="s">
        <v>368</v>
      </c>
      <c r="H10" s="13" t="s">
        <v>325</v>
      </c>
      <c r="I10" s="13" t="s">
        <v>119</v>
      </c>
      <c r="J10" s="4"/>
      <c r="K10" s="15" t="s">
        <v>356</v>
      </c>
      <c r="L10" s="4"/>
    </row>
    <row r="11" customFormat="false" ht="15" hidden="false" customHeight="false" outlineLevel="0" collapsed="false">
      <c r="A11" s="13" t="n">
        <v>7</v>
      </c>
      <c r="B11" s="4" t="s">
        <v>350</v>
      </c>
      <c r="C11" s="4" t="s">
        <v>150</v>
      </c>
      <c r="D11" s="15" t="s">
        <v>371</v>
      </c>
      <c r="E11" s="4" t="s">
        <v>372</v>
      </c>
      <c r="F11" s="4" t="s">
        <v>373</v>
      </c>
      <c r="G11" s="4" t="s">
        <v>361</v>
      </c>
      <c r="H11" s="13" t="s">
        <v>326</v>
      </c>
      <c r="I11" s="13" t="s">
        <v>179</v>
      </c>
      <c r="J11" s="4" t="s">
        <v>355</v>
      </c>
      <c r="K11" s="15" t="s">
        <v>356</v>
      </c>
      <c r="L11" s="4"/>
    </row>
    <row r="12" customFormat="false" ht="15" hidden="false" customHeight="false" outlineLevel="0" collapsed="false">
      <c r="A12" s="13" t="n">
        <v>8</v>
      </c>
      <c r="B12" s="4" t="s">
        <v>350</v>
      </c>
      <c r="C12" s="4" t="s">
        <v>150</v>
      </c>
      <c r="D12" s="24" t="s">
        <v>351</v>
      </c>
      <c r="E12" s="4" t="s">
        <v>374</v>
      </c>
      <c r="F12" s="4" t="s">
        <v>375</v>
      </c>
      <c r="G12" s="4" t="s">
        <v>354</v>
      </c>
      <c r="H12" s="13" t="s">
        <v>326</v>
      </c>
      <c r="I12" s="13" t="s">
        <v>119</v>
      </c>
      <c r="J12" s="4" t="s">
        <v>355</v>
      </c>
      <c r="K12" s="15" t="s">
        <v>356</v>
      </c>
      <c r="L12" s="4"/>
    </row>
    <row r="13" customFormat="false" ht="15" hidden="false" customHeight="false" outlineLevel="0" collapsed="false">
      <c r="A13" s="13" t="n">
        <v>9</v>
      </c>
      <c r="B13" s="4" t="s">
        <v>350</v>
      </c>
      <c r="C13" s="4" t="s">
        <v>150</v>
      </c>
      <c r="D13" s="24" t="s">
        <v>351</v>
      </c>
      <c r="E13" s="4" t="s">
        <v>376</v>
      </c>
      <c r="F13" s="4" t="s">
        <v>377</v>
      </c>
      <c r="G13" s="4" t="s">
        <v>354</v>
      </c>
      <c r="H13" s="13" t="s">
        <v>326</v>
      </c>
      <c r="I13" s="13" t="s">
        <v>119</v>
      </c>
      <c r="J13" s="4"/>
      <c r="K13" s="15" t="s">
        <v>356</v>
      </c>
      <c r="L13" s="4"/>
    </row>
    <row r="14" customFormat="false" ht="15" hidden="false" customHeight="false" outlineLevel="0" collapsed="false">
      <c r="A14" s="13" t="n">
        <v>10</v>
      </c>
      <c r="B14" s="4" t="s">
        <v>350</v>
      </c>
      <c r="C14" s="4" t="s">
        <v>150</v>
      </c>
      <c r="D14" s="24" t="s">
        <v>351</v>
      </c>
      <c r="E14" s="4" t="s">
        <v>378</v>
      </c>
      <c r="F14" s="4" t="s">
        <v>379</v>
      </c>
      <c r="G14" s="4" t="s">
        <v>354</v>
      </c>
      <c r="H14" s="13" t="s">
        <v>326</v>
      </c>
      <c r="I14" s="13" t="s">
        <v>119</v>
      </c>
      <c r="J14" s="4"/>
      <c r="K14" s="15" t="s">
        <v>356</v>
      </c>
      <c r="L14" s="4"/>
    </row>
    <row r="15" customFormat="false" ht="15" hidden="false" customHeight="false" outlineLevel="0" collapsed="false">
      <c r="A15" s="13" t="n">
        <v>11</v>
      </c>
      <c r="B15" s="4" t="s">
        <v>350</v>
      </c>
      <c r="C15" s="4" t="s">
        <v>150</v>
      </c>
      <c r="D15" s="15" t="s">
        <v>371</v>
      </c>
      <c r="E15" s="4" t="s">
        <v>380</v>
      </c>
      <c r="F15" s="4" t="s">
        <v>381</v>
      </c>
      <c r="G15" s="4" t="s">
        <v>361</v>
      </c>
      <c r="H15" s="13" t="s">
        <v>326</v>
      </c>
      <c r="I15" s="13" t="s">
        <v>179</v>
      </c>
      <c r="J15" s="4"/>
      <c r="K15" s="15" t="s">
        <v>356</v>
      </c>
      <c r="L15" s="4"/>
    </row>
    <row r="16" customFormat="false" ht="15" hidden="false" customHeight="false" outlineLevel="0" collapsed="false">
      <c r="A16" s="13" t="n">
        <v>12</v>
      </c>
      <c r="B16" s="4" t="s">
        <v>350</v>
      </c>
      <c r="C16" s="4" t="s">
        <v>382</v>
      </c>
      <c r="D16" s="25" t="s">
        <v>362</v>
      </c>
      <c r="E16" s="4" t="s">
        <v>383</v>
      </c>
      <c r="F16" s="4" t="s">
        <v>384</v>
      </c>
      <c r="G16" s="4" t="s">
        <v>385</v>
      </c>
      <c r="H16" s="13" t="s">
        <v>326</v>
      </c>
      <c r="I16" s="13" t="s">
        <v>179</v>
      </c>
      <c r="J16" s="4"/>
      <c r="K16" s="15" t="s">
        <v>356</v>
      </c>
      <c r="L16" s="4"/>
    </row>
    <row r="17" customFormat="false" ht="15" hidden="false" customHeight="false" outlineLevel="0" collapsed="false">
      <c r="A17" s="13" t="n">
        <v>13</v>
      </c>
      <c r="B17" s="4" t="s">
        <v>350</v>
      </c>
      <c r="C17" s="4" t="s">
        <v>386</v>
      </c>
      <c r="D17" s="25" t="s">
        <v>362</v>
      </c>
      <c r="E17" s="4" t="s">
        <v>387</v>
      </c>
      <c r="F17" s="4" t="s">
        <v>388</v>
      </c>
      <c r="G17" s="4" t="s">
        <v>389</v>
      </c>
      <c r="H17" s="13" t="s">
        <v>326</v>
      </c>
      <c r="I17" s="13" t="s">
        <v>179</v>
      </c>
      <c r="J17" s="4"/>
      <c r="K17" s="15" t="s">
        <v>356</v>
      </c>
      <c r="L17" s="4"/>
    </row>
    <row r="18" customFormat="false" ht="15" hidden="false" customHeight="false" outlineLevel="0" collapsed="false">
      <c r="A18" s="13" t="n">
        <v>14</v>
      </c>
      <c r="B18" s="4" t="s">
        <v>350</v>
      </c>
      <c r="C18" s="4" t="s">
        <v>386</v>
      </c>
      <c r="D18" s="15" t="s">
        <v>371</v>
      </c>
      <c r="E18" s="4" t="s">
        <v>387</v>
      </c>
      <c r="F18" s="4" t="s">
        <v>390</v>
      </c>
      <c r="G18" s="4" t="s">
        <v>385</v>
      </c>
      <c r="H18" s="13" t="s">
        <v>326</v>
      </c>
      <c r="I18" s="13" t="s">
        <v>179</v>
      </c>
      <c r="J18" s="4"/>
      <c r="K18" s="15" t="s">
        <v>356</v>
      </c>
      <c r="L18" s="4"/>
    </row>
    <row r="19" customFormat="false" ht="15" hidden="false" customHeight="false" outlineLevel="0" collapsed="false">
      <c r="A19" s="13" t="n">
        <v>15</v>
      </c>
      <c r="B19" s="4" t="s">
        <v>350</v>
      </c>
      <c r="C19" s="4" t="s">
        <v>391</v>
      </c>
      <c r="D19" s="25" t="s">
        <v>362</v>
      </c>
      <c r="E19" s="4" t="s">
        <v>392</v>
      </c>
      <c r="F19" s="4" t="s">
        <v>393</v>
      </c>
      <c r="G19" s="4" t="s">
        <v>385</v>
      </c>
      <c r="H19" s="13" t="s">
        <v>326</v>
      </c>
      <c r="I19" s="13" t="s">
        <v>119</v>
      </c>
      <c r="J19" s="4" t="s">
        <v>394</v>
      </c>
      <c r="K19" s="15" t="s">
        <v>356</v>
      </c>
      <c r="L19" s="4"/>
    </row>
    <row r="20" customFormat="false" ht="15" hidden="false" customHeight="false" outlineLevel="0" collapsed="false">
      <c r="A20" s="13" t="n">
        <v>16</v>
      </c>
      <c r="B20" s="4" t="s">
        <v>350</v>
      </c>
      <c r="C20" s="4" t="s">
        <v>391</v>
      </c>
      <c r="D20" s="24" t="s">
        <v>351</v>
      </c>
      <c r="E20" s="4" t="s">
        <v>392</v>
      </c>
      <c r="F20" s="4" t="s">
        <v>395</v>
      </c>
      <c r="G20" s="4" t="s">
        <v>385</v>
      </c>
      <c r="H20" s="13" t="s">
        <v>326</v>
      </c>
      <c r="I20" s="13" t="s">
        <v>119</v>
      </c>
      <c r="J20" s="4" t="s">
        <v>394</v>
      </c>
      <c r="K20" s="15" t="s">
        <v>356</v>
      </c>
      <c r="L20" s="4"/>
    </row>
    <row r="21" customFormat="false" ht="15" hidden="false" customHeight="false" outlineLevel="0" collapsed="false">
      <c r="A21" s="13" t="n">
        <v>17</v>
      </c>
      <c r="B21" s="4" t="s">
        <v>350</v>
      </c>
      <c r="C21" s="4" t="s">
        <v>391</v>
      </c>
      <c r="D21" s="25" t="s">
        <v>362</v>
      </c>
      <c r="E21" s="4" t="s">
        <v>396</v>
      </c>
      <c r="F21" s="4" t="s">
        <v>397</v>
      </c>
      <c r="G21" s="4" t="s">
        <v>385</v>
      </c>
      <c r="H21" s="13" t="s">
        <v>326</v>
      </c>
      <c r="I21" s="13" t="s">
        <v>119</v>
      </c>
      <c r="J21" s="4"/>
      <c r="K21" s="15" t="s">
        <v>356</v>
      </c>
      <c r="L21" s="4"/>
    </row>
    <row r="22" customFormat="false" ht="15" hidden="false" customHeight="false" outlineLevel="0" collapsed="false">
      <c r="A22" s="13" t="n">
        <v>18</v>
      </c>
      <c r="B22" s="4" t="s">
        <v>350</v>
      </c>
      <c r="C22" s="4" t="s">
        <v>391</v>
      </c>
      <c r="D22" s="15" t="s">
        <v>371</v>
      </c>
      <c r="E22" s="4" t="s">
        <v>396</v>
      </c>
      <c r="F22" s="4" t="s">
        <v>398</v>
      </c>
      <c r="G22" s="4" t="s">
        <v>385</v>
      </c>
      <c r="H22" s="13" t="s">
        <v>326</v>
      </c>
      <c r="I22" s="13" t="s">
        <v>119</v>
      </c>
      <c r="J22" s="4"/>
      <c r="K22" s="15" t="s">
        <v>356</v>
      </c>
      <c r="L22" s="4"/>
    </row>
    <row r="23" customFormat="false" ht="15" hidden="false" customHeight="false" outlineLevel="0" collapsed="false">
      <c r="A23" s="13" t="n">
        <v>19</v>
      </c>
      <c r="B23" s="4" t="s">
        <v>350</v>
      </c>
      <c r="C23" s="4" t="s">
        <v>391</v>
      </c>
      <c r="D23" s="26" t="s">
        <v>399</v>
      </c>
      <c r="E23" s="4" t="s">
        <v>400</v>
      </c>
      <c r="F23" s="4" t="s">
        <v>401</v>
      </c>
      <c r="G23" s="4" t="s">
        <v>385</v>
      </c>
      <c r="H23" s="13" t="s">
        <v>326</v>
      </c>
      <c r="I23" s="13" t="s">
        <v>119</v>
      </c>
      <c r="J23" s="4"/>
      <c r="K23" s="15" t="s">
        <v>356</v>
      </c>
      <c r="L23" s="4"/>
    </row>
    <row r="24" customFormat="false" ht="15" hidden="false" customHeight="false" outlineLevel="0" collapsed="false">
      <c r="A24" s="13" t="n">
        <v>20</v>
      </c>
      <c r="B24" s="4" t="s">
        <v>350</v>
      </c>
      <c r="C24" s="4" t="s">
        <v>391</v>
      </c>
      <c r="D24" s="15" t="s">
        <v>371</v>
      </c>
      <c r="E24" s="4" t="s">
        <v>402</v>
      </c>
      <c r="F24" s="4" t="s">
        <v>403</v>
      </c>
      <c r="G24" s="4" t="s">
        <v>385</v>
      </c>
      <c r="H24" s="13" t="s">
        <v>326</v>
      </c>
      <c r="I24" s="13" t="s">
        <v>119</v>
      </c>
      <c r="J24" s="4" t="s">
        <v>404</v>
      </c>
      <c r="K24" s="15" t="s">
        <v>356</v>
      </c>
      <c r="L24" s="4"/>
    </row>
    <row r="25" customFormat="false" ht="15" hidden="false" customHeight="false" outlineLevel="0" collapsed="false">
      <c r="A25" s="13" t="n">
        <v>21</v>
      </c>
      <c r="B25" s="4" t="s">
        <v>350</v>
      </c>
      <c r="C25" s="4" t="s">
        <v>391</v>
      </c>
      <c r="D25" s="24" t="s">
        <v>351</v>
      </c>
      <c r="E25" s="4" t="s">
        <v>405</v>
      </c>
      <c r="F25" s="4" t="s">
        <v>406</v>
      </c>
      <c r="G25" s="4" t="s">
        <v>385</v>
      </c>
      <c r="H25" s="13" t="s">
        <v>326</v>
      </c>
      <c r="I25" s="13" t="s">
        <v>301</v>
      </c>
      <c r="J25" s="4"/>
      <c r="K25" s="15" t="s">
        <v>356</v>
      </c>
      <c r="L25" s="4"/>
    </row>
    <row r="26" customFormat="false" ht="15" hidden="false" customHeight="false" outlineLevel="0" collapsed="false">
      <c r="A26" s="13" t="n">
        <v>22</v>
      </c>
      <c r="B26" s="4" t="s">
        <v>350</v>
      </c>
      <c r="C26" s="4" t="s">
        <v>391</v>
      </c>
      <c r="D26" s="25" t="s">
        <v>362</v>
      </c>
      <c r="E26" s="4" t="s">
        <v>407</v>
      </c>
      <c r="F26" s="4" t="s">
        <v>408</v>
      </c>
      <c r="G26" s="4" t="s">
        <v>385</v>
      </c>
      <c r="H26" s="13" t="s">
        <v>326</v>
      </c>
      <c r="I26" s="13" t="s">
        <v>301</v>
      </c>
      <c r="J26" s="4" t="s">
        <v>394</v>
      </c>
      <c r="K26" s="15" t="s">
        <v>356</v>
      </c>
      <c r="L26" s="4"/>
    </row>
    <row r="27" customFormat="false" ht="15" hidden="false" customHeight="false" outlineLevel="0" collapsed="false">
      <c r="A27" s="13" t="n">
        <v>23</v>
      </c>
      <c r="B27" s="4" t="s">
        <v>409</v>
      </c>
      <c r="C27" s="4" t="s">
        <v>365</v>
      </c>
      <c r="D27" s="25" t="s">
        <v>362</v>
      </c>
      <c r="E27" s="4" t="s">
        <v>366</v>
      </c>
      <c r="F27" s="4" t="s">
        <v>367</v>
      </c>
      <c r="G27" s="4" t="s">
        <v>354</v>
      </c>
      <c r="H27" s="13" t="s">
        <v>326</v>
      </c>
      <c r="I27" s="13" t="s">
        <v>119</v>
      </c>
      <c r="J27" s="4"/>
      <c r="K27" s="15" t="s">
        <v>356</v>
      </c>
      <c r="L27" s="4"/>
    </row>
    <row r="28" customFormat="false" ht="15" hidden="false" customHeight="false" outlineLevel="0" collapsed="false">
      <c r="A28" s="13" t="n">
        <v>24</v>
      </c>
      <c r="B28" s="4" t="s">
        <v>409</v>
      </c>
      <c r="C28" s="4" t="s">
        <v>410</v>
      </c>
      <c r="D28" s="25" t="s">
        <v>362</v>
      </c>
      <c r="E28" s="4" t="s">
        <v>411</v>
      </c>
      <c r="F28" s="4" t="s">
        <v>412</v>
      </c>
      <c r="G28" s="4" t="s">
        <v>361</v>
      </c>
      <c r="H28" s="13" t="s">
        <v>326</v>
      </c>
      <c r="I28" s="13" t="s">
        <v>119</v>
      </c>
      <c r="J28" s="4" t="s">
        <v>413</v>
      </c>
      <c r="K28" s="15" t="s">
        <v>356</v>
      </c>
      <c r="L28" s="4"/>
    </row>
    <row r="29" customFormat="false" ht="15" hidden="false" customHeight="false" outlineLevel="0" collapsed="false">
      <c r="A29" s="13" t="n">
        <v>25</v>
      </c>
      <c r="B29" s="4" t="s">
        <v>409</v>
      </c>
      <c r="C29" s="4" t="s">
        <v>410</v>
      </c>
      <c r="D29" s="24" t="s">
        <v>351</v>
      </c>
      <c r="E29" s="4" t="s">
        <v>411</v>
      </c>
      <c r="F29" s="4" t="s">
        <v>414</v>
      </c>
      <c r="G29" s="4" t="s">
        <v>389</v>
      </c>
      <c r="H29" s="13" t="s">
        <v>326</v>
      </c>
      <c r="I29" s="13" t="s">
        <v>119</v>
      </c>
      <c r="J29" s="4"/>
      <c r="K29" s="15" t="s">
        <v>356</v>
      </c>
      <c r="L29" s="4"/>
    </row>
    <row r="30" customFormat="false" ht="15" hidden="false" customHeight="false" outlineLevel="0" collapsed="false">
      <c r="A30" s="13" t="n">
        <v>26</v>
      </c>
      <c r="B30" s="4" t="s">
        <v>409</v>
      </c>
      <c r="C30" s="4" t="s">
        <v>410</v>
      </c>
      <c r="D30" s="15" t="s">
        <v>371</v>
      </c>
      <c r="E30" s="4" t="s">
        <v>415</v>
      </c>
      <c r="F30" s="4" t="s">
        <v>416</v>
      </c>
      <c r="G30" s="4" t="s">
        <v>389</v>
      </c>
      <c r="H30" s="13" t="s">
        <v>326</v>
      </c>
      <c r="I30" s="13" t="s">
        <v>119</v>
      </c>
      <c r="J30" s="4"/>
      <c r="K30" s="15" t="s">
        <v>356</v>
      </c>
      <c r="L30" s="4"/>
    </row>
    <row r="31" customFormat="false" ht="15" hidden="false" customHeight="false" outlineLevel="0" collapsed="false">
      <c r="A31" s="13" t="n">
        <v>27</v>
      </c>
      <c r="B31" s="4" t="s">
        <v>409</v>
      </c>
      <c r="C31" s="4" t="s">
        <v>410</v>
      </c>
      <c r="D31" s="27" t="s">
        <v>417</v>
      </c>
      <c r="E31" s="4" t="s">
        <v>415</v>
      </c>
      <c r="F31" s="4" t="s">
        <v>418</v>
      </c>
      <c r="G31" s="4" t="s">
        <v>389</v>
      </c>
      <c r="H31" s="13" t="s">
        <v>326</v>
      </c>
      <c r="I31" s="13" t="s">
        <v>179</v>
      </c>
      <c r="J31" s="4"/>
      <c r="K31" s="15" t="s">
        <v>356</v>
      </c>
      <c r="L31" s="4"/>
    </row>
    <row r="32" customFormat="false" ht="23.85" hidden="false" customHeight="false" outlineLevel="0" collapsed="false">
      <c r="A32" s="13" t="n">
        <v>28</v>
      </c>
      <c r="B32" s="4" t="s">
        <v>409</v>
      </c>
      <c r="C32" s="4" t="s">
        <v>419</v>
      </c>
      <c r="D32" s="25" t="s">
        <v>362</v>
      </c>
      <c r="E32" s="4" t="s">
        <v>420</v>
      </c>
      <c r="F32" s="4" t="s">
        <v>421</v>
      </c>
      <c r="G32" s="4" t="s">
        <v>361</v>
      </c>
      <c r="H32" s="13" t="s">
        <v>326</v>
      </c>
      <c r="I32" s="13" t="s">
        <v>119</v>
      </c>
      <c r="J32" s="4" t="s">
        <v>422</v>
      </c>
      <c r="K32" s="15" t="s">
        <v>356</v>
      </c>
      <c r="L32" s="4"/>
    </row>
    <row r="33" customFormat="false" ht="23.85" hidden="false" customHeight="false" outlineLevel="0" collapsed="false">
      <c r="A33" s="13" t="n">
        <v>29</v>
      </c>
      <c r="B33" s="4" t="s">
        <v>409</v>
      </c>
      <c r="C33" s="4" t="s">
        <v>419</v>
      </c>
      <c r="D33" s="24" t="s">
        <v>351</v>
      </c>
      <c r="E33" s="4" t="s">
        <v>420</v>
      </c>
      <c r="F33" s="4" t="s">
        <v>423</v>
      </c>
      <c r="G33" s="4" t="s">
        <v>424</v>
      </c>
      <c r="H33" s="13" t="s">
        <v>326</v>
      </c>
      <c r="I33" s="13" t="s">
        <v>119</v>
      </c>
      <c r="J33" s="4" t="s">
        <v>422</v>
      </c>
      <c r="K33" s="15" t="s">
        <v>356</v>
      </c>
      <c r="L33" s="4"/>
    </row>
    <row r="34" customFormat="false" ht="15" hidden="false" customHeight="false" outlineLevel="0" collapsed="false">
      <c r="A34" s="13" t="n">
        <v>30</v>
      </c>
      <c r="B34" s="4" t="s">
        <v>409</v>
      </c>
      <c r="C34" s="4" t="s">
        <v>419</v>
      </c>
      <c r="D34" s="25" t="s">
        <v>362</v>
      </c>
      <c r="E34" s="4" t="s">
        <v>425</v>
      </c>
      <c r="F34" s="4" t="s">
        <v>426</v>
      </c>
      <c r="G34" s="4" t="s">
        <v>361</v>
      </c>
      <c r="H34" s="13" t="s">
        <v>326</v>
      </c>
      <c r="I34" s="13" t="s">
        <v>119</v>
      </c>
      <c r="J34" s="4"/>
      <c r="K34" s="15" t="s">
        <v>356</v>
      </c>
      <c r="L34" s="4"/>
    </row>
    <row r="35" customFormat="false" ht="23.85" hidden="false" customHeight="false" outlineLevel="0" collapsed="false">
      <c r="A35" s="13" t="n">
        <v>31</v>
      </c>
      <c r="B35" s="4" t="s">
        <v>409</v>
      </c>
      <c r="C35" s="4" t="s">
        <v>419</v>
      </c>
      <c r="D35" s="15" t="s">
        <v>371</v>
      </c>
      <c r="E35" s="4" t="s">
        <v>425</v>
      </c>
      <c r="F35" s="4" t="s">
        <v>427</v>
      </c>
      <c r="G35" s="4" t="s">
        <v>424</v>
      </c>
      <c r="H35" s="13" t="s">
        <v>326</v>
      </c>
      <c r="I35" s="13" t="s">
        <v>119</v>
      </c>
      <c r="J35" s="4"/>
      <c r="K35" s="15" t="s">
        <v>356</v>
      </c>
      <c r="L35" s="4"/>
    </row>
    <row r="36" customFormat="false" ht="15" hidden="false" customHeight="false" outlineLevel="0" collapsed="false">
      <c r="A36" s="13" t="n">
        <v>32</v>
      </c>
      <c r="B36" s="4" t="s">
        <v>409</v>
      </c>
      <c r="C36" s="4" t="s">
        <v>419</v>
      </c>
      <c r="D36" s="27" t="s">
        <v>417</v>
      </c>
      <c r="E36" s="4" t="s">
        <v>425</v>
      </c>
      <c r="F36" s="4" t="s">
        <v>428</v>
      </c>
      <c r="G36" s="4" t="s">
        <v>389</v>
      </c>
      <c r="H36" s="13" t="s">
        <v>326</v>
      </c>
      <c r="I36" s="13" t="s">
        <v>119</v>
      </c>
      <c r="J36" s="4"/>
      <c r="K36" s="15" t="s">
        <v>356</v>
      </c>
      <c r="L36" s="4"/>
    </row>
    <row r="37" customFormat="false" ht="15" hidden="false" customHeight="false" outlineLevel="0" collapsed="false">
      <c r="A37" s="13" t="n">
        <v>33</v>
      </c>
      <c r="B37" s="4" t="s">
        <v>409</v>
      </c>
      <c r="C37" s="4" t="s">
        <v>368</v>
      </c>
      <c r="D37" s="24" t="s">
        <v>351</v>
      </c>
      <c r="E37" s="4" t="s">
        <v>429</v>
      </c>
      <c r="F37" s="4" t="s">
        <v>430</v>
      </c>
      <c r="G37" s="4" t="s">
        <v>368</v>
      </c>
      <c r="H37" s="13" t="s">
        <v>327</v>
      </c>
      <c r="I37" s="13" t="s">
        <v>119</v>
      </c>
      <c r="J37" s="4"/>
      <c r="K37" s="15" t="s">
        <v>356</v>
      </c>
      <c r="L37" s="4"/>
    </row>
    <row r="38" customFormat="false" ht="15" hidden="false" customHeight="false" outlineLevel="0" collapsed="false">
      <c r="A38" s="13" t="n">
        <v>34</v>
      </c>
      <c r="B38" s="4" t="s">
        <v>409</v>
      </c>
      <c r="C38" s="4" t="s">
        <v>368</v>
      </c>
      <c r="D38" s="24" t="s">
        <v>351</v>
      </c>
      <c r="E38" s="4" t="s">
        <v>431</v>
      </c>
      <c r="F38" s="4" t="s">
        <v>432</v>
      </c>
      <c r="G38" s="4" t="s">
        <v>368</v>
      </c>
      <c r="H38" s="13" t="s">
        <v>327</v>
      </c>
      <c r="I38" s="13" t="s">
        <v>119</v>
      </c>
      <c r="J38" s="4"/>
      <c r="K38" s="15" t="s">
        <v>356</v>
      </c>
      <c r="L38" s="4"/>
    </row>
    <row r="39" customFormat="false" ht="15" hidden="false" customHeight="false" outlineLevel="0" collapsed="false">
      <c r="A39" s="13" t="n">
        <v>35</v>
      </c>
      <c r="B39" s="4" t="s">
        <v>409</v>
      </c>
      <c r="C39" s="4" t="s">
        <v>433</v>
      </c>
      <c r="D39" s="25" t="s">
        <v>362</v>
      </c>
      <c r="E39" s="4" t="s">
        <v>434</v>
      </c>
      <c r="F39" s="4" t="s">
        <v>435</v>
      </c>
      <c r="G39" s="4" t="s">
        <v>361</v>
      </c>
      <c r="H39" s="13" t="s">
        <v>327</v>
      </c>
      <c r="I39" s="13" t="s">
        <v>119</v>
      </c>
      <c r="J39" s="4" t="s">
        <v>436</v>
      </c>
      <c r="K39" s="15" t="s">
        <v>356</v>
      </c>
      <c r="L39" s="4"/>
    </row>
    <row r="40" customFormat="false" ht="15" hidden="false" customHeight="false" outlineLevel="0" collapsed="false">
      <c r="A40" s="13" t="n">
        <v>36</v>
      </c>
      <c r="B40" s="4" t="s">
        <v>409</v>
      </c>
      <c r="C40" s="4" t="s">
        <v>433</v>
      </c>
      <c r="D40" s="24" t="s">
        <v>351</v>
      </c>
      <c r="E40" s="4" t="s">
        <v>434</v>
      </c>
      <c r="F40" s="4" t="s">
        <v>437</v>
      </c>
      <c r="G40" s="4" t="s">
        <v>361</v>
      </c>
      <c r="H40" s="13" t="s">
        <v>327</v>
      </c>
      <c r="I40" s="13" t="s">
        <v>119</v>
      </c>
      <c r="J40" s="4"/>
      <c r="K40" s="15" t="s">
        <v>356</v>
      </c>
      <c r="L40" s="4"/>
    </row>
    <row r="41" customFormat="false" ht="15" hidden="false" customHeight="false" outlineLevel="0" collapsed="false">
      <c r="A41" s="13" t="n">
        <v>37</v>
      </c>
      <c r="B41" s="4" t="s">
        <v>409</v>
      </c>
      <c r="C41" s="4" t="s">
        <v>433</v>
      </c>
      <c r="D41" s="25" t="s">
        <v>362</v>
      </c>
      <c r="E41" s="4" t="s">
        <v>438</v>
      </c>
      <c r="F41" s="4" t="s">
        <v>439</v>
      </c>
      <c r="G41" s="4" t="s">
        <v>361</v>
      </c>
      <c r="H41" s="13" t="s">
        <v>327</v>
      </c>
      <c r="I41" s="13" t="s">
        <v>119</v>
      </c>
      <c r="J41" s="4"/>
      <c r="K41" s="15" t="s">
        <v>356</v>
      </c>
      <c r="L41" s="4"/>
    </row>
    <row r="42" customFormat="false" ht="23.85" hidden="false" customHeight="false" outlineLevel="0" collapsed="false">
      <c r="A42" s="13" t="n">
        <v>38</v>
      </c>
      <c r="B42" s="4" t="s">
        <v>409</v>
      </c>
      <c r="C42" s="4" t="s">
        <v>433</v>
      </c>
      <c r="D42" s="15" t="s">
        <v>371</v>
      </c>
      <c r="E42" s="4" t="s">
        <v>438</v>
      </c>
      <c r="F42" s="4" t="s">
        <v>440</v>
      </c>
      <c r="G42" s="4" t="s">
        <v>441</v>
      </c>
      <c r="H42" s="13" t="s">
        <v>327</v>
      </c>
      <c r="I42" s="13" t="s">
        <v>119</v>
      </c>
      <c r="J42" s="4"/>
      <c r="K42" s="15" t="s">
        <v>356</v>
      </c>
      <c r="L42" s="4"/>
    </row>
    <row r="43" customFormat="false" ht="15" hidden="false" customHeight="false" outlineLevel="0" collapsed="false">
      <c r="A43" s="13" t="n">
        <v>39</v>
      </c>
      <c r="B43" s="4" t="s">
        <v>409</v>
      </c>
      <c r="C43" s="4" t="s">
        <v>433</v>
      </c>
      <c r="D43" s="27" t="s">
        <v>417</v>
      </c>
      <c r="E43" s="4" t="s">
        <v>438</v>
      </c>
      <c r="F43" s="4" t="s">
        <v>442</v>
      </c>
      <c r="G43" s="4" t="s">
        <v>389</v>
      </c>
      <c r="H43" s="13" t="s">
        <v>327</v>
      </c>
      <c r="I43" s="13" t="s">
        <v>179</v>
      </c>
      <c r="J43" s="4"/>
      <c r="K43" s="15" t="s">
        <v>356</v>
      </c>
      <c r="L43" s="4"/>
    </row>
    <row r="44" customFormat="false" ht="35.05" hidden="false" customHeight="false" outlineLevel="0" collapsed="false">
      <c r="A44" s="13" t="n">
        <v>40</v>
      </c>
      <c r="B44" s="4" t="s">
        <v>409</v>
      </c>
      <c r="C44" s="4" t="s">
        <v>443</v>
      </c>
      <c r="D44" s="25" t="s">
        <v>362</v>
      </c>
      <c r="E44" s="4" t="s">
        <v>444</v>
      </c>
      <c r="F44" s="4" t="s">
        <v>445</v>
      </c>
      <c r="G44" s="4" t="s">
        <v>446</v>
      </c>
      <c r="H44" s="13" t="s">
        <v>327</v>
      </c>
      <c r="I44" s="13" t="s">
        <v>119</v>
      </c>
      <c r="J44" s="4" t="s">
        <v>447</v>
      </c>
      <c r="K44" s="15" t="s">
        <v>356</v>
      </c>
      <c r="L44" s="4"/>
    </row>
    <row r="45" customFormat="false" ht="23.85" hidden="false" customHeight="false" outlineLevel="0" collapsed="false">
      <c r="A45" s="13" t="n">
        <v>41</v>
      </c>
      <c r="B45" s="4" t="s">
        <v>409</v>
      </c>
      <c r="C45" s="4" t="s">
        <v>443</v>
      </c>
      <c r="D45" s="24" t="s">
        <v>351</v>
      </c>
      <c r="E45" s="4" t="s">
        <v>444</v>
      </c>
      <c r="F45" s="4" t="s">
        <v>448</v>
      </c>
      <c r="G45" s="4" t="s">
        <v>449</v>
      </c>
      <c r="H45" s="13" t="s">
        <v>327</v>
      </c>
      <c r="I45" s="13" t="s">
        <v>119</v>
      </c>
      <c r="J45" s="4" t="s">
        <v>447</v>
      </c>
      <c r="K45" s="15" t="s">
        <v>356</v>
      </c>
      <c r="L45" s="4"/>
    </row>
    <row r="46" customFormat="false" ht="35.05" hidden="false" customHeight="false" outlineLevel="0" collapsed="false">
      <c r="A46" s="13" t="n">
        <v>42</v>
      </c>
      <c r="B46" s="4" t="s">
        <v>409</v>
      </c>
      <c r="C46" s="4" t="s">
        <v>443</v>
      </c>
      <c r="D46" s="25" t="s">
        <v>362</v>
      </c>
      <c r="E46" s="4" t="s">
        <v>450</v>
      </c>
      <c r="F46" s="4" t="s">
        <v>451</v>
      </c>
      <c r="G46" s="4" t="s">
        <v>446</v>
      </c>
      <c r="H46" s="13" t="s">
        <v>327</v>
      </c>
      <c r="I46" s="13" t="s">
        <v>119</v>
      </c>
      <c r="J46" s="4"/>
      <c r="K46" s="15" t="s">
        <v>356</v>
      </c>
      <c r="L46" s="4"/>
    </row>
    <row r="47" customFormat="false" ht="23.85" hidden="false" customHeight="false" outlineLevel="0" collapsed="false">
      <c r="A47" s="13" t="n">
        <v>43</v>
      </c>
      <c r="B47" s="4" t="s">
        <v>409</v>
      </c>
      <c r="C47" s="4" t="s">
        <v>443</v>
      </c>
      <c r="D47" s="15" t="s">
        <v>371</v>
      </c>
      <c r="E47" s="4" t="s">
        <v>450</v>
      </c>
      <c r="F47" s="4" t="s">
        <v>452</v>
      </c>
      <c r="G47" s="4" t="s">
        <v>449</v>
      </c>
      <c r="H47" s="13" t="s">
        <v>327</v>
      </c>
      <c r="I47" s="13" t="s">
        <v>119</v>
      </c>
      <c r="J47" s="4"/>
      <c r="K47" s="15" t="s">
        <v>356</v>
      </c>
      <c r="L47" s="4"/>
    </row>
    <row r="48" customFormat="false" ht="15" hidden="false" customHeight="false" outlineLevel="0" collapsed="false">
      <c r="A48" s="13" t="n">
        <v>44</v>
      </c>
      <c r="B48" s="4" t="s">
        <v>409</v>
      </c>
      <c r="C48" s="4" t="s">
        <v>443</v>
      </c>
      <c r="D48" s="27" t="s">
        <v>417</v>
      </c>
      <c r="E48" s="4" t="s">
        <v>450</v>
      </c>
      <c r="F48" s="4" t="s">
        <v>453</v>
      </c>
      <c r="G48" s="4" t="s">
        <v>389</v>
      </c>
      <c r="H48" s="13" t="s">
        <v>327</v>
      </c>
      <c r="I48" s="13" t="s">
        <v>179</v>
      </c>
      <c r="J48" s="4"/>
      <c r="K48" s="15" t="s">
        <v>356</v>
      </c>
      <c r="L48" s="4"/>
    </row>
    <row r="49" customFormat="false" ht="23.85" hidden="false" customHeight="false" outlineLevel="0" collapsed="false">
      <c r="A49" s="13" t="n">
        <v>45</v>
      </c>
      <c r="B49" s="4" t="s">
        <v>409</v>
      </c>
      <c r="C49" s="4" t="s">
        <v>419</v>
      </c>
      <c r="D49" s="24" t="s">
        <v>351</v>
      </c>
      <c r="E49" s="4" t="s">
        <v>454</v>
      </c>
      <c r="F49" s="4" t="s">
        <v>455</v>
      </c>
      <c r="G49" s="4" t="s">
        <v>424</v>
      </c>
      <c r="H49" s="13" t="s">
        <v>327</v>
      </c>
      <c r="I49" s="13" t="s">
        <v>179</v>
      </c>
      <c r="J49" s="4"/>
      <c r="K49" s="15" t="s">
        <v>356</v>
      </c>
      <c r="L49" s="4"/>
    </row>
    <row r="50" customFormat="false" ht="15" hidden="false" customHeight="false" outlineLevel="0" collapsed="false">
      <c r="A50" s="13" t="n">
        <v>46</v>
      </c>
      <c r="B50" s="4" t="s">
        <v>409</v>
      </c>
      <c r="C50" s="4" t="s">
        <v>419</v>
      </c>
      <c r="D50" s="25" t="s">
        <v>362</v>
      </c>
      <c r="E50" s="4" t="s">
        <v>456</v>
      </c>
      <c r="F50" s="4" t="s">
        <v>457</v>
      </c>
      <c r="G50" s="4" t="s">
        <v>361</v>
      </c>
      <c r="H50" s="13" t="s">
        <v>327</v>
      </c>
      <c r="I50" s="13" t="s">
        <v>179</v>
      </c>
      <c r="J50" s="4" t="s">
        <v>458</v>
      </c>
      <c r="K50" s="15" t="s">
        <v>356</v>
      </c>
      <c r="L50" s="4"/>
    </row>
    <row r="51" customFormat="false" ht="15" hidden="false" customHeight="false" outlineLevel="0" collapsed="false">
      <c r="A51" s="13" t="n">
        <v>47</v>
      </c>
      <c r="B51" s="4" t="s">
        <v>409</v>
      </c>
      <c r="C51" s="4" t="s">
        <v>419</v>
      </c>
      <c r="D51" s="24" t="s">
        <v>351</v>
      </c>
      <c r="E51" s="4" t="s">
        <v>459</v>
      </c>
      <c r="F51" s="4" t="s">
        <v>460</v>
      </c>
      <c r="G51" s="4" t="s">
        <v>389</v>
      </c>
      <c r="H51" s="13" t="s">
        <v>327</v>
      </c>
      <c r="I51" s="13" t="s">
        <v>301</v>
      </c>
      <c r="J51" s="4"/>
      <c r="K51" s="15" t="s">
        <v>356</v>
      </c>
      <c r="L51" s="4"/>
    </row>
    <row r="52" customFormat="false" ht="15" hidden="false" customHeight="false" outlineLevel="0" collapsed="false">
      <c r="A52" s="13" t="n">
        <v>48</v>
      </c>
      <c r="B52" s="4" t="s">
        <v>461</v>
      </c>
      <c r="C52" s="4" t="s">
        <v>365</v>
      </c>
      <c r="D52" s="25" t="s">
        <v>362</v>
      </c>
      <c r="E52" s="4" t="s">
        <v>366</v>
      </c>
      <c r="F52" s="4" t="s">
        <v>367</v>
      </c>
      <c r="G52" s="4" t="s">
        <v>354</v>
      </c>
      <c r="H52" s="13" t="s">
        <v>327</v>
      </c>
      <c r="I52" s="13" t="s">
        <v>119</v>
      </c>
      <c r="J52" s="4"/>
      <c r="K52" s="15" t="s">
        <v>356</v>
      </c>
      <c r="L52" s="4"/>
    </row>
    <row r="53" customFormat="false" ht="15" hidden="false" customHeight="false" outlineLevel="0" collapsed="false">
      <c r="A53" s="13" t="n">
        <v>49</v>
      </c>
      <c r="B53" s="4" t="s">
        <v>461</v>
      </c>
      <c r="C53" s="4" t="s">
        <v>462</v>
      </c>
      <c r="D53" s="25" t="s">
        <v>362</v>
      </c>
      <c r="E53" s="4" t="s">
        <v>463</v>
      </c>
      <c r="F53" s="4" t="s">
        <v>464</v>
      </c>
      <c r="G53" s="4" t="s">
        <v>361</v>
      </c>
      <c r="H53" s="13" t="s">
        <v>327</v>
      </c>
      <c r="I53" s="13" t="s">
        <v>119</v>
      </c>
      <c r="J53" s="4" t="s">
        <v>465</v>
      </c>
      <c r="K53" s="15" t="s">
        <v>356</v>
      </c>
      <c r="L53" s="4"/>
    </row>
    <row r="54" customFormat="false" ht="15" hidden="false" customHeight="false" outlineLevel="0" collapsed="false">
      <c r="A54" s="13" t="n">
        <v>50</v>
      </c>
      <c r="B54" s="4" t="s">
        <v>461</v>
      </c>
      <c r="C54" s="4" t="s">
        <v>462</v>
      </c>
      <c r="D54" s="25" t="s">
        <v>362</v>
      </c>
      <c r="E54" s="4" t="s">
        <v>466</v>
      </c>
      <c r="F54" s="4" t="s">
        <v>467</v>
      </c>
      <c r="G54" s="4" t="s">
        <v>361</v>
      </c>
      <c r="H54" s="13" t="s">
        <v>327</v>
      </c>
      <c r="I54" s="13" t="s">
        <v>119</v>
      </c>
      <c r="J54" s="4" t="s">
        <v>468</v>
      </c>
      <c r="K54" s="15" t="s">
        <v>356</v>
      </c>
      <c r="L54" s="4"/>
    </row>
    <row r="55" customFormat="false" ht="15" hidden="false" customHeight="false" outlineLevel="0" collapsed="false">
      <c r="A55" s="13" t="n">
        <v>51</v>
      </c>
      <c r="B55" s="4" t="s">
        <v>461</v>
      </c>
      <c r="C55" s="4" t="s">
        <v>462</v>
      </c>
      <c r="D55" s="26" t="s">
        <v>399</v>
      </c>
      <c r="E55" s="4" t="s">
        <v>469</v>
      </c>
      <c r="F55" s="4" t="s">
        <v>470</v>
      </c>
      <c r="G55" s="4" t="s">
        <v>361</v>
      </c>
      <c r="H55" s="13" t="s">
        <v>327</v>
      </c>
      <c r="I55" s="13" t="s">
        <v>119</v>
      </c>
      <c r="J55" s="4"/>
      <c r="K55" s="15" t="s">
        <v>356</v>
      </c>
      <c r="L55" s="4"/>
    </row>
    <row r="56" customFormat="false" ht="15" hidden="false" customHeight="false" outlineLevel="0" collapsed="false">
      <c r="A56" s="13" t="n">
        <v>52</v>
      </c>
      <c r="B56" s="4" t="s">
        <v>461</v>
      </c>
      <c r="C56" s="4" t="s">
        <v>462</v>
      </c>
      <c r="D56" s="26" t="s">
        <v>399</v>
      </c>
      <c r="E56" s="4" t="s">
        <v>471</v>
      </c>
      <c r="F56" s="4" t="s">
        <v>472</v>
      </c>
      <c r="G56" s="4" t="s">
        <v>361</v>
      </c>
      <c r="H56" s="13" t="s">
        <v>327</v>
      </c>
      <c r="I56" s="13" t="s">
        <v>179</v>
      </c>
      <c r="J56" s="4"/>
      <c r="K56" s="15" t="s">
        <v>356</v>
      </c>
      <c r="L56" s="4"/>
    </row>
    <row r="57" customFormat="false" ht="15" hidden="false" customHeight="false" outlineLevel="0" collapsed="false">
      <c r="A57" s="13" t="n">
        <v>53</v>
      </c>
      <c r="B57" s="4" t="s">
        <v>461</v>
      </c>
      <c r="C57" s="4" t="s">
        <v>462</v>
      </c>
      <c r="D57" s="28" t="s">
        <v>473</v>
      </c>
      <c r="E57" s="4" t="s">
        <v>474</v>
      </c>
      <c r="F57" s="4" t="s">
        <v>475</v>
      </c>
      <c r="G57" s="4" t="s">
        <v>361</v>
      </c>
      <c r="H57" s="13" t="s">
        <v>327</v>
      </c>
      <c r="I57" s="13" t="s">
        <v>119</v>
      </c>
      <c r="J57" s="4"/>
      <c r="K57" s="15" t="s">
        <v>356</v>
      </c>
      <c r="L57" s="4"/>
    </row>
    <row r="58" customFormat="false" ht="15" hidden="false" customHeight="false" outlineLevel="0" collapsed="false">
      <c r="A58" s="13" t="n">
        <v>54</v>
      </c>
      <c r="B58" s="4" t="s">
        <v>350</v>
      </c>
      <c r="C58" s="4" t="s">
        <v>368</v>
      </c>
      <c r="D58" s="25" t="s">
        <v>362</v>
      </c>
      <c r="E58" s="4" t="s">
        <v>476</v>
      </c>
      <c r="F58" s="4" t="s">
        <v>477</v>
      </c>
      <c r="G58" s="4" t="s">
        <v>368</v>
      </c>
      <c r="H58" s="13" t="s">
        <v>328</v>
      </c>
      <c r="I58" s="13" t="s">
        <v>119</v>
      </c>
      <c r="J58" s="4" t="s">
        <v>465</v>
      </c>
      <c r="K58" s="15" t="s">
        <v>356</v>
      </c>
      <c r="L58" s="4"/>
    </row>
    <row r="59" customFormat="false" ht="23.85" hidden="false" customHeight="false" outlineLevel="0" collapsed="false">
      <c r="A59" s="13" t="n">
        <v>55</v>
      </c>
      <c r="B59" s="4" t="s">
        <v>478</v>
      </c>
      <c r="C59" s="4" t="s">
        <v>479</v>
      </c>
      <c r="D59" s="25" t="s">
        <v>362</v>
      </c>
      <c r="E59" s="4" t="s">
        <v>480</v>
      </c>
      <c r="F59" s="4" t="s">
        <v>481</v>
      </c>
      <c r="G59" s="4" t="s">
        <v>361</v>
      </c>
      <c r="H59" s="13" t="s">
        <v>328</v>
      </c>
      <c r="I59" s="13" t="s">
        <v>119</v>
      </c>
      <c r="J59" s="4" t="s">
        <v>482</v>
      </c>
      <c r="K59" s="15" t="s">
        <v>356</v>
      </c>
      <c r="L59" s="4"/>
    </row>
    <row r="60" customFormat="false" ht="15" hidden="false" customHeight="false" outlineLevel="0" collapsed="false">
      <c r="A60" s="13" t="n">
        <v>56</v>
      </c>
      <c r="B60" s="4" t="s">
        <v>478</v>
      </c>
      <c r="C60" s="4" t="s">
        <v>483</v>
      </c>
      <c r="D60" s="25" t="s">
        <v>362</v>
      </c>
      <c r="E60" s="4" t="s">
        <v>484</v>
      </c>
      <c r="F60" s="4" t="s">
        <v>485</v>
      </c>
      <c r="G60" s="4" t="s">
        <v>486</v>
      </c>
      <c r="H60" s="13" t="s">
        <v>328</v>
      </c>
      <c r="I60" s="13" t="s">
        <v>119</v>
      </c>
      <c r="J60" s="4" t="s">
        <v>487</v>
      </c>
      <c r="K60" s="15" t="s">
        <v>356</v>
      </c>
      <c r="L60" s="4"/>
    </row>
    <row r="61" customFormat="false" ht="15" hidden="false" customHeight="false" outlineLevel="0" collapsed="false">
      <c r="A61" s="13" t="n">
        <v>57</v>
      </c>
      <c r="B61" s="4" t="s">
        <v>478</v>
      </c>
      <c r="C61" s="4" t="s">
        <v>483</v>
      </c>
      <c r="D61" s="25" t="s">
        <v>362</v>
      </c>
      <c r="E61" s="4" t="s">
        <v>488</v>
      </c>
      <c r="F61" s="4" t="s">
        <v>489</v>
      </c>
      <c r="G61" s="4" t="s">
        <v>486</v>
      </c>
      <c r="H61" s="13" t="s">
        <v>328</v>
      </c>
      <c r="I61" s="13" t="s">
        <v>119</v>
      </c>
      <c r="J61" s="4" t="s">
        <v>487</v>
      </c>
      <c r="K61" s="15" t="s">
        <v>356</v>
      </c>
      <c r="L61" s="4"/>
    </row>
    <row r="62" customFormat="false" ht="15" hidden="false" customHeight="false" outlineLevel="0" collapsed="false">
      <c r="A62" s="13" t="n">
        <v>58</v>
      </c>
      <c r="B62" s="4" t="s">
        <v>478</v>
      </c>
      <c r="C62" s="4" t="s">
        <v>483</v>
      </c>
      <c r="D62" s="25" t="s">
        <v>362</v>
      </c>
      <c r="E62" s="4" t="s">
        <v>490</v>
      </c>
      <c r="F62" s="4" t="s">
        <v>491</v>
      </c>
      <c r="G62" s="4" t="s">
        <v>486</v>
      </c>
      <c r="H62" s="13" t="s">
        <v>328</v>
      </c>
      <c r="I62" s="13" t="s">
        <v>179</v>
      </c>
      <c r="J62" s="4"/>
      <c r="K62" s="15" t="s">
        <v>356</v>
      </c>
      <c r="L62" s="4"/>
    </row>
    <row r="63" customFormat="false" ht="23.85" hidden="false" customHeight="false" outlineLevel="0" collapsed="false">
      <c r="A63" s="13" t="n">
        <v>59</v>
      </c>
      <c r="B63" s="4" t="s">
        <v>478</v>
      </c>
      <c r="C63" s="4" t="s">
        <v>492</v>
      </c>
      <c r="D63" s="24" t="s">
        <v>351</v>
      </c>
      <c r="E63" s="4" t="s">
        <v>493</v>
      </c>
      <c r="F63" s="4" t="s">
        <v>494</v>
      </c>
      <c r="G63" s="4" t="s">
        <v>495</v>
      </c>
      <c r="H63" s="13" t="s">
        <v>328</v>
      </c>
      <c r="I63" s="13" t="s">
        <v>119</v>
      </c>
      <c r="J63" s="4" t="s">
        <v>487</v>
      </c>
      <c r="K63" s="15" t="s">
        <v>356</v>
      </c>
      <c r="L63" s="4"/>
    </row>
    <row r="64" customFormat="false" ht="15" hidden="false" customHeight="false" outlineLevel="0" collapsed="false">
      <c r="A64" s="13" t="n">
        <v>60</v>
      </c>
      <c r="B64" s="4" t="s">
        <v>478</v>
      </c>
      <c r="C64" s="4" t="s">
        <v>492</v>
      </c>
      <c r="D64" s="25" t="s">
        <v>362</v>
      </c>
      <c r="E64" s="4" t="s">
        <v>493</v>
      </c>
      <c r="F64" s="4" t="s">
        <v>496</v>
      </c>
      <c r="G64" s="4" t="s">
        <v>486</v>
      </c>
      <c r="H64" s="13" t="s">
        <v>328</v>
      </c>
      <c r="I64" s="13" t="s">
        <v>119</v>
      </c>
      <c r="J64" s="4"/>
      <c r="K64" s="15" t="s">
        <v>356</v>
      </c>
      <c r="L64" s="4"/>
    </row>
    <row r="65" customFormat="false" ht="15" hidden="false" customHeight="false" outlineLevel="0" collapsed="false">
      <c r="A65" s="13" t="n">
        <v>61</v>
      </c>
      <c r="B65" s="4" t="s">
        <v>461</v>
      </c>
      <c r="C65" s="4" t="s">
        <v>462</v>
      </c>
      <c r="D65" s="26" t="s">
        <v>399</v>
      </c>
      <c r="E65" s="4" t="s">
        <v>497</v>
      </c>
      <c r="F65" s="4" t="s">
        <v>498</v>
      </c>
      <c r="G65" s="4" t="s">
        <v>361</v>
      </c>
      <c r="H65" s="13" t="s">
        <v>328</v>
      </c>
      <c r="I65" s="13" t="s">
        <v>179</v>
      </c>
      <c r="J65" s="4"/>
      <c r="K65" s="15" t="s">
        <v>356</v>
      </c>
      <c r="L65" s="4"/>
    </row>
    <row r="66" customFormat="false" ht="15" hidden="false" customHeight="false" outlineLevel="0" collapsed="false">
      <c r="A66" s="13" t="n">
        <v>62</v>
      </c>
      <c r="B66" s="4" t="s">
        <v>461</v>
      </c>
      <c r="C66" s="4" t="s">
        <v>499</v>
      </c>
      <c r="D66" s="25" t="s">
        <v>362</v>
      </c>
      <c r="E66" s="4" t="s">
        <v>500</v>
      </c>
      <c r="F66" s="4" t="s">
        <v>501</v>
      </c>
      <c r="G66" s="4" t="s">
        <v>361</v>
      </c>
      <c r="H66" s="13" t="s">
        <v>330</v>
      </c>
      <c r="I66" s="13" t="s">
        <v>119</v>
      </c>
      <c r="J66" s="4" t="s">
        <v>502</v>
      </c>
      <c r="K66" s="15" t="s">
        <v>356</v>
      </c>
      <c r="L66" s="4"/>
    </row>
    <row r="67" customFormat="false" ht="23.85" hidden="false" customHeight="false" outlineLevel="0" collapsed="false">
      <c r="A67" s="13" t="n">
        <v>63</v>
      </c>
      <c r="B67" s="4" t="s">
        <v>461</v>
      </c>
      <c r="C67" s="4" t="s">
        <v>499</v>
      </c>
      <c r="D67" s="25" t="s">
        <v>362</v>
      </c>
      <c r="E67" s="4" t="s">
        <v>503</v>
      </c>
      <c r="F67" s="4" t="s">
        <v>504</v>
      </c>
      <c r="G67" s="4" t="s">
        <v>449</v>
      </c>
      <c r="H67" s="13" t="s">
        <v>330</v>
      </c>
      <c r="I67" s="13" t="s">
        <v>119</v>
      </c>
      <c r="J67" s="4" t="s">
        <v>505</v>
      </c>
      <c r="K67" s="15" t="s">
        <v>356</v>
      </c>
      <c r="L67" s="4"/>
    </row>
    <row r="68" customFormat="false" ht="23.85" hidden="false" customHeight="false" outlineLevel="0" collapsed="false">
      <c r="A68" s="13" t="n">
        <v>64</v>
      </c>
      <c r="B68" s="4" t="s">
        <v>461</v>
      </c>
      <c r="C68" s="4" t="s">
        <v>499</v>
      </c>
      <c r="D68" s="25" t="s">
        <v>362</v>
      </c>
      <c r="E68" s="4" t="s">
        <v>506</v>
      </c>
      <c r="F68" s="4" t="s">
        <v>507</v>
      </c>
      <c r="G68" s="4" t="s">
        <v>449</v>
      </c>
      <c r="H68" s="13" t="s">
        <v>330</v>
      </c>
      <c r="I68" s="13" t="s">
        <v>119</v>
      </c>
      <c r="J68" s="4" t="s">
        <v>508</v>
      </c>
      <c r="K68" s="15" t="s">
        <v>356</v>
      </c>
      <c r="L68" s="4"/>
    </row>
    <row r="69" customFormat="false" ht="23.85" hidden="false" customHeight="false" outlineLevel="0" collapsed="false">
      <c r="A69" s="13" t="n">
        <v>65</v>
      </c>
      <c r="B69" s="4" t="s">
        <v>461</v>
      </c>
      <c r="C69" s="4" t="s">
        <v>499</v>
      </c>
      <c r="D69" s="25" t="s">
        <v>362</v>
      </c>
      <c r="E69" s="4" t="s">
        <v>509</v>
      </c>
      <c r="F69" s="4" t="s">
        <v>510</v>
      </c>
      <c r="G69" s="4" t="s">
        <v>449</v>
      </c>
      <c r="H69" s="13" t="s">
        <v>330</v>
      </c>
      <c r="I69" s="13" t="s">
        <v>179</v>
      </c>
      <c r="J69" s="4" t="s">
        <v>511</v>
      </c>
      <c r="K69" s="15" t="s">
        <v>356</v>
      </c>
      <c r="L69" s="4"/>
    </row>
    <row r="70" customFormat="false" ht="23.85" hidden="false" customHeight="false" outlineLevel="0" collapsed="false">
      <c r="A70" s="13" t="n">
        <v>66</v>
      </c>
      <c r="B70" s="4" t="s">
        <v>461</v>
      </c>
      <c r="C70" s="4" t="s">
        <v>499</v>
      </c>
      <c r="D70" s="25" t="s">
        <v>362</v>
      </c>
      <c r="E70" s="4" t="s">
        <v>512</v>
      </c>
      <c r="F70" s="4" t="s">
        <v>513</v>
      </c>
      <c r="G70" s="4" t="s">
        <v>449</v>
      </c>
      <c r="H70" s="13" t="s">
        <v>330</v>
      </c>
      <c r="I70" s="13" t="s">
        <v>119</v>
      </c>
      <c r="J70" s="4" t="s">
        <v>514</v>
      </c>
      <c r="K70" s="15" t="s">
        <v>356</v>
      </c>
      <c r="L70" s="4"/>
    </row>
    <row r="71" customFormat="false" ht="23.85" hidden="false" customHeight="false" outlineLevel="0" collapsed="false">
      <c r="A71" s="13" t="n">
        <v>67</v>
      </c>
      <c r="B71" s="4" t="s">
        <v>461</v>
      </c>
      <c r="C71" s="4" t="s">
        <v>499</v>
      </c>
      <c r="D71" s="25" t="s">
        <v>362</v>
      </c>
      <c r="E71" s="4" t="s">
        <v>515</v>
      </c>
      <c r="F71" s="4" t="s">
        <v>516</v>
      </c>
      <c r="G71" s="4" t="s">
        <v>449</v>
      </c>
      <c r="H71" s="13" t="s">
        <v>330</v>
      </c>
      <c r="I71" s="13" t="s">
        <v>119</v>
      </c>
      <c r="J71" s="4" t="s">
        <v>487</v>
      </c>
      <c r="K71" s="15" t="s">
        <v>356</v>
      </c>
      <c r="L71" s="4"/>
    </row>
    <row r="72" customFormat="false" ht="23.85" hidden="false" customHeight="false" outlineLevel="0" collapsed="false">
      <c r="A72" s="13" t="n">
        <v>68</v>
      </c>
      <c r="B72" s="4" t="s">
        <v>461</v>
      </c>
      <c r="C72" s="4" t="s">
        <v>499</v>
      </c>
      <c r="D72" s="25" t="s">
        <v>362</v>
      </c>
      <c r="E72" s="4" t="s">
        <v>517</v>
      </c>
      <c r="F72" s="4" t="s">
        <v>518</v>
      </c>
      <c r="G72" s="4" t="s">
        <v>449</v>
      </c>
      <c r="H72" s="13" t="s">
        <v>330</v>
      </c>
      <c r="I72" s="13" t="s">
        <v>119</v>
      </c>
      <c r="J72" s="4" t="s">
        <v>519</v>
      </c>
      <c r="K72" s="15" t="s">
        <v>356</v>
      </c>
      <c r="L72" s="4"/>
    </row>
    <row r="73" customFormat="false" ht="23.85" hidden="false" customHeight="false" outlineLevel="0" collapsed="false">
      <c r="A73" s="13" t="n">
        <v>69</v>
      </c>
      <c r="B73" s="4" t="s">
        <v>461</v>
      </c>
      <c r="C73" s="4" t="s">
        <v>499</v>
      </c>
      <c r="D73" s="25" t="s">
        <v>362</v>
      </c>
      <c r="E73" s="4" t="s">
        <v>520</v>
      </c>
      <c r="F73" s="4" t="s">
        <v>521</v>
      </c>
      <c r="G73" s="4" t="s">
        <v>449</v>
      </c>
      <c r="H73" s="13" t="s">
        <v>330</v>
      </c>
      <c r="I73" s="13" t="s">
        <v>119</v>
      </c>
      <c r="J73" s="4" t="s">
        <v>519</v>
      </c>
      <c r="K73" s="15" t="s">
        <v>356</v>
      </c>
      <c r="L73" s="4"/>
    </row>
    <row r="74" customFormat="false" ht="23.85" hidden="false" customHeight="false" outlineLevel="0" collapsed="false">
      <c r="A74" s="13" t="n">
        <v>70</v>
      </c>
      <c r="B74" s="4" t="s">
        <v>461</v>
      </c>
      <c r="C74" s="4" t="s">
        <v>522</v>
      </c>
      <c r="D74" s="25" t="s">
        <v>362</v>
      </c>
      <c r="E74" s="4" t="s">
        <v>523</v>
      </c>
      <c r="F74" s="4" t="s">
        <v>524</v>
      </c>
      <c r="G74" s="4" t="s">
        <v>361</v>
      </c>
      <c r="H74" s="13" t="s">
        <v>330</v>
      </c>
      <c r="I74" s="13" t="s">
        <v>119</v>
      </c>
      <c r="J74" s="4" t="s">
        <v>525</v>
      </c>
      <c r="K74" s="15" t="s">
        <v>356</v>
      </c>
      <c r="L74" s="4"/>
    </row>
    <row r="75" customFormat="false" ht="15" hidden="false" customHeight="false" outlineLevel="0" collapsed="false">
      <c r="A75" s="13" t="n">
        <v>71</v>
      </c>
      <c r="B75" s="4" t="s">
        <v>461</v>
      </c>
      <c r="C75" s="4" t="s">
        <v>526</v>
      </c>
      <c r="D75" s="25" t="s">
        <v>362</v>
      </c>
      <c r="E75" s="4" t="s">
        <v>527</v>
      </c>
      <c r="F75" s="4" t="s">
        <v>528</v>
      </c>
      <c r="G75" s="4" t="s">
        <v>385</v>
      </c>
      <c r="H75" s="13" t="s">
        <v>331</v>
      </c>
      <c r="I75" s="13" t="s">
        <v>179</v>
      </c>
      <c r="J75" s="4" t="s">
        <v>529</v>
      </c>
      <c r="K75" s="15" t="s">
        <v>356</v>
      </c>
      <c r="L75" s="4"/>
    </row>
    <row r="76" customFormat="false" ht="15" hidden="false" customHeight="false" outlineLevel="0" collapsed="false">
      <c r="A76" s="13" t="n">
        <v>72</v>
      </c>
      <c r="B76" s="4" t="s">
        <v>461</v>
      </c>
      <c r="C76" s="4" t="s">
        <v>526</v>
      </c>
      <c r="D76" s="24" t="s">
        <v>351</v>
      </c>
      <c r="E76" s="4" t="s">
        <v>527</v>
      </c>
      <c r="F76" s="4" t="s">
        <v>530</v>
      </c>
      <c r="G76" s="4" t="s">
        <v>385</v>
      </c>
      <c r="H76" s="13" t="s">
        <v>331</v>
      </c>
      <c r="I76" s="13" t="s">
        <v>179</v>
      </c>
      <c r="J76" s="4" t="s">
        <v>531</v>
      </c>
      <c r="K76" s="15" t="s">
        <v>356</v>
      </c>
      <c r="L76" s="4"/>
    </row>
    <row r="77" customFormat="false" ht="15" hidden="false" customHeight="false" outlineLevel="0" collapsed="false">
      <c r="A77" s="13" t="n">
        <v>73</v>
      </c>
      <c r="B77" s="4" t="s">
        <v>461</v>
      </c>
      <c r="C77" s="4" t="s">
        <v>532</v>
      </c>
      <c r="D77" s="25" t="s">
        <v>362</v>
      </c>
      <c r="E77" s="4" t="s">
        <v>533</v>
      </c>
      <c r="F77" s="4" t="s">
        <v>534</v>
      </c>
      <c r="G77" s="4" t="s">
        <v>389</v>
      </c>
      <c r="H77" s="13" t="s">
        <v>331</v>
      </c>
      <c r="I77" s="13" t="s">
        <v>119</v>
      </c>
      <c r="J77" s="4" t="s">
        <v>394</v>
      </c>
      <c r="K77" s="15" t="s">
        <v>356</v>
      </c>
      <c r="L77" s="4"/>
    </row>
    <row r="78" customFormat="false" ht="15" hidden="false" customHeight="false" outlineLevel="0" collapsed="false">
      <c r="A78" s="13" t="n">
        <v>74</v>
      </c>
      <c r="B78" s="4" t="s">
        <v>461</v>
      </c>
      <c r="C78" s="4" t="s">
        <v>535</v>
      </c>
      <c r="D78" s="24" t="s">
        <v>351</v>
      </c>
      <c r="E78" s="4" t="s">
        <v>536</v>
      </c>
      <c r="F78" s="4" t="s">
        <v>537</v>
      </c>
      <c r="G78" s="4" t="s">
        <v>361</v>
      </c>
      <c r="H78" s="13" t="s">
        <v>331</v>
      </c>
      <c r="I78" s="13" t="s">
        <v>119</v>
      </c>
      <c r="J78" s="4" t="s">
        <v>538</v>
      </c>
      <c r="K78" s="15" t="s">
        <v>356</v>
      </c>
      <c r="L78" s="4"/>
    </row>
    <row r="79" customFormat="false" ht="15" hidden="false" customHeight="false" outlineLevel="0" collapsed="false">
      <c r="A79" s="13" t="n">
        <v>75</v>
      </c>
      <c r="B79" s="4" t="s">
        <v>461</v>
      </c>
      <c r="C79" s="4" t="s">
        <v>535</v>
      </c>
      <c r="D79" s="25" t="s">
        <v>362</v>
      </c>
      <c r="E79" s="4" t="s">
        <v>539</v>
      </c>
      <c r="F79" s="4" t="s">
        <v>540</v>
      </c>
      <c r="G79" s="4" t="s">
        <v>361</v>
      </c>
      <c r="H79" s="13" t="s">
        <v>331</v>
      </c>
      <c r="I79" s="13" t="s">
        <v>119</v>
      </c>
      <c r="J79" s="4"/>
      <c r="K79" s="15" t="s">
        <v>356</v>
      </c>
      <c r="L79" s="4"/>
    </row>
    <row r="80" customFormat="false" ht="15" hidden="false" customHeight="false" outlineLevel="0" collapsed="false">
      <c r="A80" s="13" t="n">
        <v>76</v>
      </c>
      <c r="B80" s="4" t="s">
        <v>461</v>
      </c>
      <c r="C80" s="4" t="s">
        <v>535</v>
      </c>
      <c r="D80" s="25" t="s">
        <v>362</v>
      </c>
      <c r="E80" s="4" t="s">
        <v>541</v>
      </c>
      <c r="F80" s="4" t="s">
        <v>542</v>
      </c>
      <c r="G80" s="4" t="s">
        <v>361</v>
      </c>
      <c r="H80" s="13" t="s">
        <v>331</v>
      </c>
      <c r="I80" s="13" t="s">
        <v>119</v>
      </c>
      <c r="J80" s="4"/>
      <c r="K80" s="15" t="s">
        <v>356</v>
      </c>
      <c r="L80" s="4"/>
    </row>
  </sheetData>
  <autoFilter ref="A4:L80"/>
  <dataValidations count="1">
    <dataValidation allowBlank="false" errorStyle="stop" operator="between" showDropDown="false" showErrorMessage="false" showInputMessage="false" sqref="K5:K80" type="list">
      <formula1>"Chưa làm,Đang làm,Xong BE,Đã test"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13"/>
    <col collapsed="false" customWidth="true" hidden="false" outlineLevel="0" max="4" min="4" style="0" width="8"/>
    <col collapsed="false" customWidth="true" hidden="false" outlineLevel="0" max="5" min="5" style="0" width="42"/>
    <col collapsed="false" customWidth="true" hidden="false" outlineLevel="0" max="6" min="6" style="0" width="60"/>
    <col collapsed="false" customWidth="true" hidden="false" outlineLevel="0" max="7" min="7" style="0" width="26"/>
    <col collapsed="false" customWidth="true" hidden="false" outlineLevel="0" max="8" min="8" style="0" width="7"/>
    <col collapsed="false" customWidth="true" hidden="false" outlineLevel="0" max="9" min="9" style="0" width="8"/>
    <col collapsed="false" customWidth="true" hidden="false" outlineLevel="0" max="10" min="10" style="0" width="12"/>
    <col collapsed="false" customWidth="true" hidden="false" outlineLevel="0" max="11" min="11" style="0" width="14"/>
    <col collapsed="false" customWidth="true" hidden="false" outlineLevel="0" max="12" min="12" style="0" width="25"/>
  </cols>
  <sheetData>
    <row r="1" customFormat="false" ht="17.35" hidden="false" customHeight="false" outlineLevel="0" collapsed="false">
      <c r="A1" s="1" t="s">
        <v>543</v>
      </c>
    </row>
    <row r="2" customFormat="false" ht="15" hidden="false" customHeight="false" outlineLevel="0" collapsed="false">
      <c r="A2" s="2" t="s">
        <v>544</v>
      </c>
    </row>
    <row r="4" customFormat="false" ht="15" hidden="false" customHeight="false" outlineLevel="0" collapsed="false">
      <c r="A4" s="6" t="s">
        <v>341</v>
      </c>
      <c r="B4" s="6" t="s">
        <v>342</v>
      </c>
      <c r="C4" s="6" t="s">
        <v>343</v>
      </c>
      <c r="D4" s="6" t="s">
        <v>344</v>
      </c>
      <c r="E4" s="6" t="s">
        <v>345</v>
      </c>
      <c r="F4" s="6" t="s">
        <v>346</v>
      </c>
      <c r="G4" s="6" t="s">
        <v>347</v>
      </c>
      <c r="H4" s="6" t="s">
        <v>348</v>
      </c>
      <c r="I4" s="6" t="s">
        <v>101</v>
      </c>
      <c r="J4" s="6" t="s">
        <v>161</v>
      </c>
      <c r="K4" s="6" t="s">
        <v>104</v>
      </c>
      <c r="L4" s="6" t="s">
        <v>349</v>
      </c>
    </row>
    <row r="5" customFormat="false" ht="15" hidden="false" customHeight="false" outlineLevel="0" collapsed="false">
      <c r="A5" s="13" t="n">
        <v>1</v>
      </c>
      <c r="B5" s="4" t="s">
        <v>545</v>
      </c>
      <c r="C5" s="4" t="s">
        <v>365</v>
      </c>
      <c r="D5" s="25" t="s">
        <v>362</v>
      </c>
      <c r="E5" s="4" t="s">
        <v>366</v>
      </c>
      <c r="F5" s="4" t="s">
        <v>367</v>
      </c>
      <c r="G5" s="4" t="s">
        <v>354</v>
      </c>
      <c r="H5" s="13" t="s">
        <v>325</v>
      </c>
      <c r="I5" s="13" t="s">
        <v>119</v>
      </c>
      <c r="J5" s="4"/>
      <c r="K5" s="15" t="s">
        <v>356</v>
      </c>
      <c r="L5" s="4"/>
    </row>
    <row r="6" customFormat="false" ht="15" hidden="false" customHeight="false" outlineLevel="0" collapsed="false">
      <c r="A6" s="13" t="n">
        <v>2</v>
      </c>
      <c r="B6" s="4" t="s">
        <v>545</v>
      </c>
      <c r="C6" s="4" t="s">
        <v>546</v>
      </c>
      <c r="D6" s="25" t="s">
        <v>362</v>
      </c>
      <c r="E6" s="4" t="s">
        <v>547</v>
      </c>
      <c r="F6" s="4" t="s">
        <v>548</v>
      </c>
      <c r="G6" s="4" t="s">
        <v>361</v>
      </c>
      <c r="H6" s="13" t="s">
        <v>325</v>
      </c>
      <c r="I6" s="13" t="s">
        <v>119</v>
      </c>
      <c r="J6" s="4" t="s">
        <v>549</v>
      </c>
      <c r="K6" s="15" t="s">
        <v>356</v>
      </c>
      <c r="L6" s="4"/>
    </row>
    <row r="7" customFormat="false" ht="15" hidden="false" customHeight="false" outlineLevel="0" collapsed="false">
      <c r="A7" s="13" t="n">
        <v>3</v>
      </c>
      <c r="B7" s="4" t="s">
        <v>545</v>
      </c>
      <c r="C7" s="4" t="s">
        <v>546</v>
      </c>
      <c r="D7" s="24" t="s">
        <v>351</v>
      </c>
      <c r="E7" s="4" t="s">
        <v>547</v>
      </c>
      <c r="F7" s="4" t="s">
        <v>550</v>
      </c>
      <c r="G7" s="4" t="s">
        <v>385</v>
      </c>
      <c r="H7" s="13" t="s">
        <v>325</v>
      </c>
      <c r="I7" s="13" t="s">
        <v>119</v>
      </c>
      <c r="J7" s="4" t="s">
        <v>551</v>
      </c>
      <c r="K7" s="15" t="s">
        <v>356</v>
      </c>
      <c r="L7" s="4"/>
    </row>
    <row r="8" customFormat="false" ht="15" hidden="false" customHeight="false" outlineLevel="0" collapsed="false">
      <c r="A8" s="13" t="n">
        <v>4</v>
      </c>
      <c r="B8" s="4" t="s">
        <v>545</v>
      </c>
      <c r="C8" s="4" t="s">
        <v>546</v>
      </c>
      <c r="D8" s="25" t="s">
        <v>362</v>
      </c>
      <c r="E8" s="4" t="s">
        <v>552</v>
      </c>
      <c r="F8" s="4" t="s">
        <v>553</v>
      </c>
      <c r="G8" s="4" t="s">
        <v>361</v>
      </c>
      <c r="H8" s="13" t="s">
        <v>325</v>
      </c>
      <c r="I8" s="13" t="s">
        <v>119</v>
      </c>
      <c r="J8" s="4"/>
      <c r="K8" s="15" t="s">
        <v>356</v>
      </c>
      <c r="L8" s="4"/>
    </row>
    <row r="9" customFormat="false" ht="15" hidden="false" customHeight="false" outlineLevel="0" collapsed="false">
      <c r="A9" s="13" t="n">
        <v>5</v>
      </c>
      <c r="B9" s="4" t="s">
        <v>545</v>
      </c>
      <c r="C9" s="4" t="s">
        <v>546</v>
      </c>
      <c r="D9" s="15" t="s">
        <v>371</v>
      </c>
      <c r="E9" s="4" t="s">
        <v>552</v>
      </c>
      <c r="F9" s="4" t="s">
        <v>554</v>
      </c>
      <c r="G9" s="4" t="s">
        <v>385</v>
      </c>
      <c r="H9" s="13" t="s">
        <v>325</v>
      </c>
      <c r="I9" s="13" t="s">
        <v>119</v>
      </c>
      <c r="J9" s="4"/>
      <c r="K9" s="15" t="s">
        <v>356</v>
      </c>
      <c r="L9" s="4"/>
    </row>
    <row r="10" customFormat="false" ht="23.85" hidden="false" customHeight="false" outlineLevel="0" collapsed="false">
      <c r="A10" s="13" t="n">
        <v>6</v>
      </c>
      <c r="B10" s="4" t="s">
        <v>545</v>
      </c>
      <c r="C10" s="4" t="s">
        <v>546</v>
      </c>
      <c r="D10" s="25" t="s">
        <v>362</v>
      </c>
      <c r="E10" s="4" t="s">
        <v>555</v>
      </c>
      <c r="F10" s="4" t="s">
        <v>556</v>
      </c>
      <c r="G10" s="4" t="s">
        <v>385</v>
      </c>
      <c r="H10" s="13" t="s">
        <v>325</v>
      </c>
      <c r="I10" s="13" t="s">
        <v>119</v>
      </c>
      <c r="J10" s="4" t="s">
        <v>549</v>
      </c>
      <c r="K10" s="15" t="s">
        <v>356</v>
      </c>
      <c r="L10" s="4"/>
    </row>
    <row r="11" customFormat="false" ht="15" hidden="false" customHeight="false" outlineLevel="0" collapsed="false">
      <c r="A11" s="13" t="n">
        <v>7</v>
      </c>
      <c r="B11" s="4" t="s">
        <v>545</v>
      </c>
      <c r="C11" s="4" t="s">
        <v>546</v>
      </c>
      <c r="D11" s="26" t="s">
        <v>399</v>
      </c>
      <c r="E11" s="4" t="s">
        <v>557</v>
      </c>
      <c r="F11" s="4" t="s">
        <v>558</v>
      </c>
      <c r="G11" s="4" t="s">
        <v>385</v>
      </c>
      <c r="H11" s="13" t="s">
        <v>325</v>
      </c>
      <c r="I11" s="13" t="s">
        <v>119</v>
      </c>
      <c r="J11" s="4" t="s">
        <v>559</v>
      </c>
      <c r="K11" s="15" t="s">
        <v>356</v>
      </c>
      <c r="L11" s="4"/>
    </row>
    <row r="12" customFormat="false" ht="15" hidden="false" customHeight="false" outlineLevel="0" collapsed="false">
      <c r="A12" s="13" t="n">
        <v>8</v>
      </c>
      <c r="B12" s="4" t="s">
        <v>545</v>
      </c>
      <c r="C12" s="4" t="s">
        <v>546</v>
      </c>
      <c r="D12" s="26" t="s">
        <v>399</v>
      </c>
      <c r="E12" s="4" t="s">
        <v>560</v>
      </c>
      <c r="F12" s="4" t="s">
        <v>561</v>
      </c>
      <c r="G12" s="4" t="s">
        <v>385</v>
      </c>
      <c r="H12" s="13" t="s">
        <v>325</v>
      </c>
      <c r="I12" s="13" t="s">
        <v>179</v>
      </c>
      <c r="J12" s="4"/>
      <c r="K12" s="15" t="s">
        <v>356</v>
      </c>
      <c r="L12" s="4"/>
    </row>
    <row r="13" customFormat="false" ht="23.85" hidden="false" customHeight="false" outlineLevel="0" collapsed="false">
      <c r="A13" s="13" t="n">
        <v>9</v>
      </c>
      <c r="B13" s="4" t="s">
        <v>545</v>
      </c>
      <c r="C13" s="4" t="s">
        <v>562</v>
      </c>
      <c r="D13" s="25" t="s">
        <v>362</v>
      </c>
      <c r="E13" s="4" t="s">
        <v>563</v>
      </c>
      <c r="F13" s="4" t="s">
        <v>564</v>
      </c>
      <c r="G13" s="4" t="s">
        <v>424</v>
      </c>
      <c r="H13" s="13" t="s">
        <v>325</v>
      </c>
      <c r="I13" s="13" t="s">
        <v>179</v>
      </c>
      <c r="J13" s="4" t="s">
        <v>565</v>
      </c>
      <c r="K13" s="15" t="s">
        <v>356</v>
      </c>
      <c r="L13" s="4"/>
    </row>
    <row r="14" customFormat="false" ht="15" hidden="false" customHeight="false" outlineLevel="0" collapsed="false">
      <c r="A14" s="13" t="n">
        <v>10</v>
      </c>
      <c r="B14" s="4" t="s">
        <v>545</v>
      </c>
      <c r="C14" s="4" t="s">
        <v>562</v>
      </c>
      <c r="D14" s="15" t="s">
        <v>371</v>
      </c>
      <c r="E14" s="4" t="s">
        <v>563</v>
      </c>
      <c r="F14" s="4" t="s">
        <v>566</v>
      </c>
      <c r="G14" s="4" t="s">
        <v>389</v>
      </c>
      <c r="H14" s="13" t="s">
        <v>325</v>
      </c>
      <c r="I14" s="13" t="s">
        <v>179</v>
      </c>
      <c r="J14" s="4"/>
      <c r="K14" s="15" t="s">
        <v>356</v>
      </c>
      <c r="L14" s="4"/>
    </row>
    <row r="15" customFormat="false" ht="15" hidden="false" customHeight="false" outlineLevel="0" collapsed="false">
      <c r="A15" s="13" t="n">
        <v>11</v>
      </c>
      <c r="B15" s="4" t="s">
        <v>545</v>
      </c>
      <c r="C15" s="4" t="s">
        <v>368</v>
      </c>
      <c r="D15" s="24" t="s">
        <v>351</v>
      </c>
      <c r="E15" s="4" t="s">
        <v>567</v>
      </c>
      <c r="F15" s="4" t="s">
        <v>568</v>
      </c>
      <c r="G15" s="4" t="s">
        <v>368</v>
      </c>
      <c r="H15" s="13" t="s">
        <v>326</v>
      </c>
      <c r="I15" s="13" t="s">
        <v>119</v>
      </c>
      <c r="J15" s="4" t="s">
        <v>569</v>
      </c>
      <c r="K15" s="15" t="s">
        <v>356</v>
      </c>
      <c r="L15" s="4"/>
    </row>
    <row r="16" customFormat="false" ht="15" hidden="false" customHeight="false" outlineLevel="0" collapsed="false">
      <c r="A16" s="13" t="n">
        <v>12</v>
      </c>
      <c r="B16" s="4" t="s">
        <v>545</v>
      </c>
      <c r="C16" s="4" t="s">
        <v>368</v>
      </c>
      <c r="D16" s="24" t="s">
        <v>351</v>
      </c>
      <c r="E16" s="4" t="s">
        <v>570</v>
      </c>
      <c r="F16" s="4" t="s">
        <v>571</v>
      </c>
      <c r="G16" s="4" t="s">
        <v>368</v>
      </c>
      <c r="H16" s="13" t="s">
        <v>326</v>
      </c>
      <c r="I16" s="13" t="s">
        <v>119</v>
      </c>
      <c r="J16" s="4" t="s">
        <v>572</v>
      </c>
      <c r="K16" s="15" t="s">
        <v>356</v>
      </c>
      <c r="L16" s="4"/>
    </row>
    <row r="17" customFormat="false" ht="15" hidden="false" customHeight="false" outlineLevel="0" collapsed="false">
      <c r="A17" s="13" t="n">
        <v>13</v>
      </c>
      <c r="B17" s="4" t="s">
        <v>545</v>
      </c>
      <c r="C17" s="4" t="s">
        <v>368</v>
      </c>
      <c r="D17" s="24" t="s">
        <v>351</v>
      </c>
      <c r="E17" s="4" t="s">
        <v>573</v>
      </c>
      <c r="F17" s="4" t="s">
        <v>574</v>
      </c>
      <c r="G17" s="4" t="s">
        <v>368</v>
      </c>
      <c r="H17" s="13" t="s">
        <v>326</v>
      </c>
      <c r="I17" s="13" t="s">
        <v>119</v>
      </c>
      <c r="J17" s="4"/>
      <c r="K17" s="15" t="s">
        <v>356</v>
      </c>
      <c r="L17" s="4"/>
    </row>
    <row r="18" customFormat="false" ht="15" hidden="false" customHeight="false" outlineLevel="0" collapsed="false">
      <c r="A18" s="13" t="n">
        <v>14</v>
      </c>
      <c r="B18" s="4" t="s">
        <v>545</v>
      </c>
      <c r="C18" s="4" t="s">
        <v>368</v>
      </c>
      <c r="D18" s="24" t="s">
        <v>351</v>
      </c>
      <c r="E18" s="4" t="s">
        <v>575</v>
      </c>
      <c r="F18" s="4" t="s">
        <v>576</v>
      </c>
      <c r="G18" s="4" t="s">
        <v>368</v>
      </c>
      <c r="H18" s="13" t="s">
        <v>326</v>
      </c>
      <c r="I18" s="13" t="s">
        <v>119</v>
      </c>
      <c r="J18" s="4" t="s">
        <v>577</v>
      </c>
      <c r="K18" s="15" t="s">
        <v>356</v>
      </c>
      <c r="L18" s="4"/>
    </row>
    <row r="19" customFormat="false" ht="15" hidden="false" customHeight="false" outlineLevel="0" collapsed="false">
      <c r="A19" s="13" t="n">
        <v>15</v>
      </c>
      <c r="B19" s="4" t="s">
        <v>545</v>
      </c>
      <c r="C19" s="4" t="s">
        <v>368</v>
      </c>
      <c r="D19" s="24" t="s">
        <v>351</v>
      </c>
      <c r="E19" s="4" t="s">
        <v>578</v>
      </c>
      <c r="F19" s="4" t="s">
        <v>579</v>
      </c>
      <c r="G19" s="4" t="s">
        <v>368</v>
      </c>
      <c r="H19" s="13" t="s">
        <v>326</v>
      </c>
      <c r="I19" s="13" t="s">
        <v>119</v>
      </c>
      <c r="J19" s="4"/>
      <c r="K19" s="15" t="s">
        <v>356</v>
      </c>
      <c r="L19" s="4"/>
    </row>
    <row r="20" customFormat="false" ht="15" hidden="false" customHeight="false" outlineLevel="0" collapsed="false">
      <c r="A20" s="13" t="n">
        <v>16</v>
      </c>
      <c r="B20" s="4" t="s">
        <v>545</v>
      </c>
      <c r="C20" s="4" t="s">
        <v>368</v>
      </c>
      <c r="D20" s="24" t="s">
        <v>351</v>
      </c>
      <c r="E20" s="4" t="s">
        <v>580</v>
      </c>
      <c r="F20" s="4" t="s">
        <v>581</v>
      </c>
      <c r="G20" s="4" t="s">
        <v>368</v>
      </c>
      <c r="H20" s="13" t="s">
        <v>327</v>
      </c>
      <c r="I20" s="13" t="s">
        <v>179</v>
      </c>
      <c r="J20" s="4" t="s">
        <v>572</v>
      </c>
      <c r="K20" s="15" t="s">
        <v>356</v>
      </c>
      <c r="L20" s="4"/>
    </row>
    <row r="21" customFormat="false" ht="23.85" hidden="false" customHeight="false" outlineLevel="0" collapsed="false">
      <c r="A21" s="13" t="n">
        <v>17</v>
      </c>
      <c r="B21" s="4" t="s">
        <v>545</v>
      </c>
      <c r="C21" s="4" t="s">
        <v>582</v>
      </c>
      <c r="D21" s="25" t="s">
        <v>362</v>
      </c>
      <c r="E21" s="4" t="s">
        <v>583</v>
      </c>
      <c r="F21" s="4" t="s">
        <v>584</v>
      </c>
      <c r="G21" s="4" t="s">
        <v>361</v>
      </c>
      <c r="H21" s="13" t="s">
        <v>327</v>
      </c>
      <c r="I21" s="13" t="s">
        <v>119</v>
      </c>
      <c r="J21" s="4" t="s">
        <v>565</v>
      </c>
      <c r="K21" s="15" t="s">
        <v>356</v>
      </c>
      <c r="L21" s="4"/>
    </row>
    <row r="22" customFormat="false" ht="15" hidden="false" customHeight="false" outlineLevel="0" collapsed="false">
      <c r="A22" s="13" t="n">
        <v>18</v>
      </c>
      <c r="B22" s="4" t="s">
        <v>545</v>
      </c>
      <c r="C22" s="4" t="s">
        <v>582</v>
      </c>
      <c r="D22" s="25" t="s">
        <v>362</v>
      </c>
      <c r="E22" s="4" t="s">
        <v>585</v>
      </c>
      <c r="F22" s="4" t="s">
        <v>586</v>
      </c>
      <c r="G22" s="4" t="s">
        <v>361</v>
      </c>
      <c r="H22" s="13" t="s">
        <v>327</v>
      </c>
      <c r="I22" s="13" t="s">
        <v>119</v>
      </c>
      <c r="J22" s="4" t="s">
        <v>587</v>
      </c>
      <c r="K22" s="15" t="s">
        <v>356</v>
      </c>
      <c r="L22" s="4"/>
    </row>
    <row r="23" customFormat="false" ht="15" hidden="false" customHeight="false" outlineLevel="0" collapsed="false">
      <c r="A23" s="13" t="n">
        <v>19</v>
      </c>
      <c r="B23" s="4" t="s">
        <v>545</v>
      </c>
      <c r="C23" s="4" t="s">
        <v>582</v>
      </c>
      <c r="D23" s="25" t="s">
        <v>362</v>
      </c>
      <c r="E23" s="4" t="s">
        <v>588</v>
      </c>
      <c r="F23" s="4" t="s">
        <v>589</v>
      </c>
      <c r="G23" s="4" t="s">
        <v>361</v>
      </c>
      <c r="H23" s="13" t="s">
        <v>327</v>
      </c>
      <c r="I23" s="13" t="s">
        <v>119</v>
      </c>
      <c r="J23" s="4" t="s">
        <v>565</v>
      </c>
      <c r="K23" s="15" t="s">
        <v>356</v>
      </c>
      <c r="L23" s="4"/>
    </row>
    <row r="24" customFormat="false" ht="15" hidden="false" customHeight="false" outlineLevel="0" collapsed="false">
      <c r="A24" s="13" t="n">
        <v>20</v>
      </c>
      <c r="B24" s="4" t="s">
        <v>545</v>
      </c>
      <c r="C24" s="4" t="s">
        <v>582</v>
      </c>
      <c r="D24" s="25" t="s">
        <v>362</v>
      </c>
      <c r="E24" s="4" t="s">
        <v>590</v>
      </c>
      <c r="F24" s="4" t="s">
        <v>591</v>
      </c>
      <c r="G24" s="4" t="s">
        <v>361</v>
      </c>
      <c r="H24" s="13" t="s">
        <v>327</v>
      </c>
      <c r="I24" s="13" t="s">
        <v>119</v>
      </c>
      <c r="J24" s="4"/>
      <c r="K24" s="15" t="s">
        <v>356</v>
      </c>
      <c r="L24" s="4"/>
    </row>
    <row r="25" customFormat="false" ht="15" hidden="false" customHeight="false" outlineLevel="0" collapsed="false">
      <c r="A25" s="13" t="n">
        <v>21</v>
      </c>
      <c r="B25" s="4" t="s">
        <v>545</v>
      </c>
      <c r="C25" s="4" t="s">
        <v>582</v>
      </c>
      <c r="D25" s="25" t="s">
        <v>362</v>
      </c>
      <c r="E25" s="4" t="s">
        <v>592</v>
      </c>
      <c r="F25" s="4" t="s">
        <v>593</v>
      </c>
      <c r="G25" s="4" t="s">
        <v>361</v>
      </c>
      <c r="H25" s="13" t="s">
        <v>327</v>
      </c>
      <c r="I25" s="13" t="s">
        <v>119</v>
      </c>
      <c r="J25" s="4" t="s">
        <v>465</v>
      </c>
      <c r="K25" s="15" t="s">
        <v>356</v>
      </c>
      <c r="L25" s="4"/>
    </row>
    <row r="26" customFormat="false" ht="35.05" hidden="false" customHeight="false" outlineLevel="0" collapsed="false">
      <c r="A26" s="13" t="n">
        <v>22</v>
      </c>
      <c r="B26" s="4" t="s">
        <v>545</v>
      </c>
      <c r="C26" s="4" t="s">
        <v>582</v>
      </c>
      <c r="D26" s="25" t="s">
        <v>362</v>
      </c>
      <c r="E26" s="4" t="s">
        <v>594</v>
      </c>
      <c r="F26" s="4" t="s">
        <v>595</v>
      </c>
      <c r="G26" s="4" t="s">
        <v>446</v>
      </c>
      <c r="H26" s="13" t="s">
        <v>327</v>
      </c>
      <c r="I26" s="13" t="s">
        <v>119</v>
      </c>
      <c r="J26" s="4" t="s">
        <v>577</v>
      </c>
      <c r="K26" s="15" t="s">
        <v>356</v>
      </c>
      <c r="L26" s="4"/>
    </row>
    <row r="27" customFormat="false" ht="15" hidden="false" customHeight="false" outlineLevel="0" collapsed="false">
      <c r="A27" s="13" t="n">
        <v>23</v>
      </c>
      <c r="B27" s="4" t="s">
        <v>478</v>
      </c>
      <c r="C27" s="4" t="s">
        <v>365</v>
      </c>
      <c r="D27" s="25" t="s">
        <v>362</v>
      </c>
      <c r="E27" s="4" t="s">
        <v>366</v>
      </c>
      <c r="F27" s="4" t="s">
        <v>367</v>
      </c>
      <c r="G27" s="4" t="s">
        <v>354</v>
      </c>
      <c r="H27" s="13" t="s">
        <v>327</v>
      </c>
      <c r="I27" s="13" t="s">
        <v>119</v>
      </c>
      <c r="J27" s="4"/>
      <c r="K27" s="15" t="s">
        <v>356</v>
      </c>
      <c r="L27" s="4"/>
    </row>
    <row r="28" customFormat="false" ht="35.05" hidden="false" customHeight="false" outlineLevel="0" collapsed="false">
      <c r="A28" s="13" t="n">
        <v>24</v>
      </c>
      <c r="B28" s="4" t="s">
        <v>478</v>
      </c>
      <c r="C28" s="4" t="s">
        <v>596</v>
      </c>
      <c r="D28" s="25" t="s">
        <v>362</v>
      </c>
      <c r="E28" s="4" t="s">
        <v>597</v>
      </c>
      <c r="F28" s="4" t="s">
        <v>598</v>
      </c>
      <c r="G28" s="4" t="s">
        <v>446</v>
      </c>
      <c r="H28" s="13" t="s">
        <v>327</v>
      </c>
      <c r="I28" s="13" t="s">
        <v>119</v>
      </c>
      <c r="J28" s="4" t="s">
        <v>599</v>
      </c>
      <c r="K28" s="15" t="s">
        <v>356</v>
      </c>
      <c r="L28" s="4"/>
    </row>
    <row r="29" customFormat="false" ht="15" hidden="false" customHeight="false" outlineLevel="0" collapsed="false">
      <c r="A29" s="13" t="n">
        <v>25</v>
      </c>
      <c r="B29" s="4" t="s">
        <v>478</v>
      </c>
      <c r="C29" s="4" t="s">
        <v>596</v>
      </c>
      <c r="D29" s="24" t="s">
        <v>351</v>
      </c>
      <c r="E29" s="4" t="s">
        <v>597</v>
      </c>
      <c r="F29" s="4" t="s">
        <v>600</v>
      </c>
      <c r="G29" s="4" t="s">
        <v>601</v>
      </c>
      <c r="H29" s="13" t="s">
        <v>327</v>
      </c>
      <c r="I29" s="13" t="s">
        <v>119</v>
      </c>
      <c r="J29" s="4" t="s">
        <v>602</v>
      </c>
      <c r="K29" s="15" t="s">
        <v>356</v>
      </c>
      <c r="L29" s="4"/>
    </row>
    <row r="30" customFormat="false" ht="35.05" hidden="false" customHeight="false" outlineLevel="0" collapsed="false">
      <c r="A30" s="13" t="n">
        <v>26</v>
      </c>
      <c r="B30" s="4" t="s">
        <v>478</v>
      </c>
      <c r="C30" s="4" t="s">
        <v>596</v>
      </c>
      <c r="D30" s="25" t="s">
        <v>362</v>
      </c>
      <c r="E30" s="4" t="s">
        <v>603</v>
      </c>
      <c r="F30" s="4" t="s">
        <v>604</v>
      </c>
      <c r="G30" s="4" t="s">
        <v>446</v>
      </c>
      <c r="H30" s="13" t="s">
        <v>327</v>
      </c>
      <c r="I30" s="13" t="s">
        <v>119</v>
      </c>
      <c r="J30" s="4"/>
      <c r="K30" s="15" t="s">
        <v>356</v>
      </c>
      <c r="L30" s="4"/>
    </row>
    <row r="31" customFormat="false" ht="15" hidden="false" customHeight="false" outlineLevel="0" collapsed="false">
      <c r="A31" s="13" t="n">
        <v>27</v>
      </c>
      <c r="B31" s="4" t="s">
        <v>478</v>
      </c>
      <c r="C31" s="4" t="s">
        <v>596</v>
      </c>
      <c r="D31" s="15" t="s">
        <v>371</v>
      </c>
      <c r="E31" s="4" t="s">
        <v>603</v>
      </c>
      <c r="F31" s="4" t="s">
        <v>605</v>
      </c>
      <c r="G31" s="4" t="s">
        <v>601</v>
      </c>
      <c r="H31" s="13" t="s">
        <v>327</v>
      </c>
      <c r="I31" s="13" t="s">
        <v>119</v>
      </c>
      <c r="J31" s="4" t="s">
        <v>572</v>
      </c>
      <c r="K31" s="15" t="s">
        <v>356</v>
      </c>
      <c r="L31" s="4"/>
    </row>
    <row r="32" customFormat="false" ht="15" hidden="false" customHeight="false" outlineLevel="0" collapsed="false">
      <c r="A32" s="13" t="n">
        <v>28</v>
      </c>
      <c r="B32" s="4" t="s">
        <v>478</v>
      </c>
      <c r="C32" s="4" t="s">
        <v>596</v>
      </c>
      <c r="D32" s="24" t="s">
        <v>351</v>
      </c>
      <c r="E32" s="4" t="s">
        <v>606</v>
      </c>
      <c r="F32" s="4" t="s">
        <v>607</v>
      </c>
      <c r="G32" s="4" t="s">
        <v>601</v>
      </c>
      <c r="H32" s="13" t="s">
        <v>327</v>
      </c>
      <c r="I32" s="13" t="s">
        <v>119</v>
      </c>
      <c r="J32" s="4" t="s">
        <v>608</v>
      </c>
      <c r="K32" s="15" t="s">
        <v>356</v>
      </c>
      <c r="L32" s="4"/>
    </row>
    <row r="33" customFormat="false" ht="15" hidden="false" customHeight="false" outlineLevel="0" collapsed="false">
      <c r="A33" s="13" t="n">
        <v>29</v>
      </c>
      <c r="B33" s="4" t="s">
        <v>478</v>
      </c>
      <c r="C33" s="4" t="s">
        <v>596</v>
      </c>
      <c r="D33" s="24" t="s">
        <v>351</v>
      </c>
      <c r="E33" s="4" t="s">
        <v>609</v>
      </c>
      <c r="F33" s="4" t="s">
        <v>610</v>
      </c>
      <c r="G33" s="4" t="s">
        <v>601</v>
      </c>
      <c r="H33" s="13" t="s">
        <v>327</v>
      </c>
      <c r="I33" s="13" t="s">
        <v>179</v>
      </c>
      <c r="J33" s="4"/>
      <c r="K33" s="15" t="s">
        <v>356</v>
      </c>
      <c r="L33" s="4"/>
    </row>
    <row r="34" customFormat="false" ht="15" hidden="false" customHeight="false" outlineLevel="0" collapsed="false">
      <c r="A34" s="13" t="n">
        <v>30</v>
      </c>
      <c r="B34" s="4" t="s">
        <v>478</v>
      </c>
      <c r="C34" s="4" t="s">
        <v>596</v>
      </c>
      <c r="D34" s="25" t="s">
        <v>362</v>
      </c>
      <c r="E34" s="4" t="s">
        <v>611</v>
      </c>
      <c r="F34" s="4" t="s">
        <v>612</v>
      </c>
      <c r="G34" s="4" t="s">
        <v>361</v>
      </c>
      <c r="H34" s="13" t="s">
        <v>327</v>
      </c>
      <c r="I34" s="13" t="s">
        <v>179</v>
      </c>
      <c r="J34" s="4"/>
      <c r="K34" s="15" t="s">
        <v>356</v>
      </c>
      <c r="L34" s="4"/>
    </row>
    <row r="35" customFormat="false" ht="15" hidden="false" customHeight="false" outlineLevel="0" collapsed="false">
      <c r="A35" s="13" t="n">
        <v>31</v>
      </c>
      <c r="B35" s="4" t="s">
        <v>545</v>
      </c>
      <c r="C35" s="4" t="s">
        <v>613</v>
      </c>
      <c r="D35" s="25" t="s">
        <v>362</v>
      </c>
      <c r="E35" s="4" t="s">
        <v>614</v>
      </c>
      <c r="F35" s="4" t="s">
        <v>615</v>
      </c>
      <c r="G35" s="4" t="s">
        <v>361</v>
      </c>
      <c r="H35" s="13" t="s">
        <v>328</v>
      </c>
      <c r="I35" s="13" t="s">
        <v>119</v>
      </c>
      <c r="J35" s="4" t="s">
        <v>616</v>
      </c>
      <c r="K35" s="15" t="s">
        <v>356</v>
      </c>
      <c r="L35" s="4"/>
    </row>
    <row r="36" customFormat="false" ht="23.85" hidden="false" customHeight="false" outlineLevel="0" collapsed="false">
      <c r="A36" s="13" t="n">
        <v>32</v>
      </c>
      <c r="B36" s="4" t="s">
        <v>545</v>
      </c>
      <c r="C36" s="4" t="s">
        <v>613</v>
      </c>
      <c r="D36" s="24" t="s">
        <v>351</v>
      </c>
      <c r="E36" s="4" t="s">
        <v>614</v>
      </c>
      <c r="F36" s="4" t="s">
        <v>617</v>
      </c>
      <c r="G36" s="4" t="s">
        <v>618</v>
      </c>
      <c r="H36" s="13" t="s">
        <v>328</v>
      </c>
      <c r="I36" s="13" t="s">
        <v>119</v>
      </c>
      <c r="J36" s="4" t="s">
        <v>616</v>
      </c>
      <c r="K36" s="15" t="s">
        <v>356</v>
      </c>
      <c r="L36" s="4"/>
    </row>
    <row r="37" customFormat="false" ht="15" hidden="false" customHeight="false" outlineLevel="0" collapsed="false">
      <c r="A37" s="13" t="n">
        <v>33</v>
      </c>
      <c r="B37" s="4" t="s">
        <v>545</v>
      </c>
      <c r="C37" s="4" t="s">
        <v>613</v>
      </c>
      <c r="D37" s="26" t="s">
        <v>399</v>
      </c>
      <c r="E37" s="4" t="s">
        <v>619</v>
      </c>
      <c r="F37" s="4" t="s">
        <v>620</v>
      </c>
      <c r="G37" s="4" t="s">
        <v>621</v>
      </c>
      <c r="H37" s="13" t="s">
        <v>328</v>
      </c>
      <c r="I37" s="13" t="s">
        <v>179</v>
      </c>
      <c r="J37" s="4"/>
      <c r="K37" s="15" t="s">
        <v>356</v>
      </c>
      <c r="L37" s="4"/>
    </row>
    <row r="38" customFormat="false" ht="23.85" hidden="false" customHeight="false" outlineLevel="0" collapsed="false">
      <c r="A38" s="13" t="n">
        <v>34</v>
      </c>
      <c r="B38" s="4" t="s">
        <v>545</v>
      </c>
      <c r="C38" s="4" t="s">
        <v>613</v>
      </c>
      <c r="D38" s="27" t="s">
        <v>417</v>
      </c>
      <c r="E38" s="4" t="s">
        <v>622</v>
      </c>
      <c r="F38" s="4" t="s">
        <v>623</v>
      </c>
      <c r="G38" s="4" t="s">
        <v>618</v>
      </c>
      <c r="H38" s="13" t="s">
        <v>328</v>
      </c>
      <c r="I38" s="13" t="s">
        <v>119</v>
      </c>
      <c r="J38" s="4"/>
      <c r="K38" s="15" t="s">
        <v>356</v>
      </c>
      <c r="L38" s="4"/>
    </row>
    <row r="39" customFormat="false" ht="15" hidden="false" customHeight="false" outlineLevel="0" collapsed="false">
      <c r="A39" s="13" t="n">
        <v>35</v>
      </c>
      <c r="B39" s="4" t="s">
        <v>545</v>
      </c>
      <c r="C39" s="4" t="s">
        <v>582</v>
      </c>
      <c r="D39" s="24" t="s">
        <v>351</v>
      </c>
      <c r="E39" s="4" t="s">
        <v>624</v>
      </c>
      <c r="F39" s="4" t="s">
        <v>625</v>
      </c>
      <c r="G39" s="4" t="s">
        <v>601</v>
      </c>
      <c r="H39" s="13" t="s">
        <v>328</v>
      </c>
      <c r="I39" s="13" t="s">
        <v>179</v>
      </c>
      <c r="J39" s="4" t="s">
        <v>626</v>
      </c>
      <c r="K39" s="15" t="s">
        <v>356</v>
      </c>
      <c r="L39" s="4"/>
    </row>
    <row r="40" customFormat="false" ht="15" hidden="false" customHeight="false" outlineLevel="0" collapsed="false">
      <c r="A40" s="13" t="n">
        <v>36</v>
      </c>
      <c r="B40" s="4" t="s">
        <v>478</v>
      </c>
      <c r="C40" s="4" t="s">
        <v>627</v>
      </c>
      <c r="D40" s="25" t="s">
        <v>362</v>
      </c>
      <c r="E40" s="4" t="s">
        <v>628</v>
      </c>
      <c r="F40" s="4" t="s">
        <v>629</v>
      </c>
      <c r="G40" s="4" t="s">
        <v>361</v>
      </c>
      <c r="H40" s="13" t="s">
        <v>328</v>
      </c>
      <c r="I40" s="13" t="s">
        <v>119</v>
      </c>
      <c r="J40" s="4" t="s">
        <v>630</v>
      </c>
      <c r="K40" s="15" t="s">
        <v>356</v>
      </c>
      <c r="L40" s="4"/>
    </row>
    <row r="41" customFormat="false" ht="15" hidden="false" customHeight="false" outlineLevel="0" collapsed="false">
      <c r="A41" s="13" t="n">
        <v>37</v>
      </c>
      <c r="B41" s="4" t="s">
        <v>478</v>
      </c>
      <c r="C41" s="4" t="s">
        <v>627</v>
      </c>
      <c r="D41" s="24" t="s">
        <v>351</v>
      </c>
      <c r="E41" s="4" t="s">
        <v>631</v>
      </c>
      <c r="F41" s="4" t="s">
        <v>632</v>
      </c>
      <c r="G41" s="4" t="s">
        <v>361</v>
      </c>
      <c r="H41" s="13" t="s">
        <v>328</v>
      </c>
      <c r="I41" s="13" t="s">
        <v>119</v>
      </c>
      <c r="J41" s="4" t="s">
        <v>633</v>
      </c>
      <c r="K41" s="15" t="s">
        <v>356</v>
      </c>
      <c r="L41" s="4"/>
    </row>
    <row r="42" customFormat="false" ht="23.85" hidden="false" customHeight="false" outlineLevel="0" collapsed="false">
      <c r="A42" s="13" t="n">
        <v>38</v>
      </c>
      <c r="B42" s="4" t="s">
        <v>478</v>
      </c>
      <c r="C42" s="4" t="s">
        <v>627</v>
      </c>
      <c r="D42" s="24" t="s">
        <v>351</v>
      </c>
      <c r="E42" s="4" t="s">
        <v>628</v>
      </c>
      <c r="F42" s="4" t="s">
        <v>634</v>
      </c>
      <c r="G42" s="4" t="s">
        <v>635</v>
      </c>
      <c r="H42" s="13" t="s">
        <v>328</v>
      </c>
      <c r="I42" s="13" t="s">
        <v>119</v>
      </c>
      <c r="J42" s="4" t="s">
        <v>636</v>
      </c>
      <c r="K42" s="15" t="s">
        <v>356</v>
      </c>
      <c r="L42" s="4"/>
    </row>
    <row r="43" customFormat="false" ht="15" hidden="false" customHeight="false" outlineLevel="0" collapsed="false">
      <c r="A43" s="13" t="n">
        <v>39</v>
      </c>
      <c r="B43" s="4" t="s">
        <v>478</v>
      </c>
      <c r="C43" s="4" t="s">
        <v>627</v>
      </c>
      <c r="D43" s="25" t="s">
        <v>362</v>
      </c>
      <c r="E43" s="4" t="s">
        <v>637</v>
      </c>
      <c r="F43" s="4" t="s">
        <v>638</v>
      </c>
      <c r="G43" s="4" t="s">
        <v>361</v>
      </c>
      <c r="H43" s="13" t="s">
        <v>328</v>
      </c>
      <c r="I43" s="13" t="s">
        <v>119</v>
      </c>
      <c r="J43" s="4"/>
      <c r="K43" s="15" t="s">
        <v>356</v>
      </c>
      <c r="L43" s="4"/>
    </row>
    <row r="44" customFormat="false" ht="23.85" hidden="false" customHeight="false" outlineLevel="0" collapsed="false">
      <c r="A44" s="13" t="n">
        <v>40</v>
      </c>
      <c r="B44" s="4" t="s">
        <v>478</v>
      </c>
      <c r="C44" s="4" t="s">
        <v>627</v>
      </c>
      <c r="D44" s="15" t="s">
        <v>371</v>
      </c>
      <c r="E44" s="4" t="s">
        <v>637</v>
      </c>
      <c r="F44" s="4" t="s">
        <v>639</v>
      </c>
      <c r="G44" s="4" t="s">
        <v>635</v>
      </c>
      <c r="H44" s="13" t="s">
        <v>328</v>
      </c>
      <c r="I44" s="13" t="s">
        <v>119</v>
      </c>
      <c r="J44" s="4" t="s">
        <v>569</v>
      </c>
      <c r="K44" s="15" t="s">
        <v>356</v>
      </c>
      <c r="L44" s="4"/>
    </row>
    <row r="45" customFormat="false" ht="23.85" hidden="false" customHeight="false" outlineLevel="0" collapsed="false">
      <c r="A45" s="13" t="n">
        <v>41</v>
      </c>
      <c r="B45" s="4" t="s">
        <v>478</v>
      </c>
      <c r="C45" s="4" t="s">
        <v>627</v>
      </c>
      <c r="D45" s="24" t="s">
        <v>351</v>
      </c>
      <c r="E45" s="4" t="s">
        <v>640</v>
      </c>
      <c r="F45" s="4" t="s">
        <v>641</v>
      </c>
      <c r="G45" s="4" t="s">
        <v>635</v>
      </c>
      <c r="H45" s="13" t="s">
        <v>328</v>
      </c>
      <c r="I45" s="13" t="s">
        <v>119</v>
      </c>
      <c r="J45" s="4" t="s">
        <v>569</v>
      </c>
      <c r="K45" s="15" t="s">
        <v>356</v>
      </c>
      <c r="L45" s="4"/>
    </row>
    <row r="46" customFormat="false" ht="15" hidden="false" customHeight="false" outlineLevel="0" collapsed="false">
      <c r="A46" s="13" t="n">
        <v>42</v>
      </c>
      <c r="B46" s="4" t="s">
        <v>478</v>
      </c>
      <c r="C46" s="4" t="s">
        <v>627</v>
      </c>
      <c r="D46" s="24" t="s">
        <v>351</v>
      </c>
      <c r="E46" s="4" t="s">
        <v>642</v>
      </c>
      <c r="F46" s="4" t="s">
        <v>643</v>
      </c>
      <c r="G46" s="4" t="s">
        <v>601</v>
      </c>
      <c r="H46" s="13" t="s">
        <v>328</v>
      </c>
      <c r="I46" s="13" t="s">
        <v>119</v>
      </c>
      <c r="J46" s="4"/>
      <c r="K46" s="15" t="s">
        <v>356</v>
      </c>
      <c r="L46" s="4"/>
    </row>
    <row r="47" customFormat="false" ht="15" hidden="false" customHeight="false" outlineLevel="0" collapsed="false">
      <c r="A47" s="13" t="n">
        <v>43</v>
      </c>
      <c r="B47" s="4" t="s">
        <v>478</v>
      </c>
      <c r="C47" s="4" t="s">
        <v>627</v>
      </c>
      <c r="D47" s="24" t="s">
        <v>351</v>
      </c>
      <c r="E47" s="4" t="s">
        <v>644</v>
      </c>
      <c r="F47" s="4" t="s">
        <v>645</v>
      </c>
      <c r="G47" s="4" t="s">
        <v>646</v>
      </c>
      <c r="H47" s="13" t="s">
        <v>328</v>
      </c>
      <c r="I47" s="13" t="s">
        <v>119</v>
      </c>
      <c r="J47" s="4" t="s">
        <v>647</v>
      </c>
      <c r="K47" s="15" t="s">
        <v>356</v>
      </c>
      <c r="L47" s="4"/>
    </row>
    <row r="48" customFormat="false" ht="15" hidden="false" customHeight="false" outlineLevel="0" collapsed="false">
      <c r="A48" s="13" t="n">
        <v>44</v>
      </c>
      <c r="B48" s="4" t="s">
        <v>478</v>
      </c>
      <c r="C48" s="4" t="s">
        <v>627</v>
      </c>
      <c r="D48" s="24" t="s">
        <v>351</v>
      </c>
      <c r="E48" s="4" t="s">
        <v>648</v>
      </c>
      <c r="F48" s="4" t="s">
        <v>649</v>
      </c>
      <c r="G48" s="4" t="s">
        <v>601</v>
      </c>
      <c r="H48" s="13" t="s">
        <v>328</v>
      </c>
      <c r="I48" s="13" t="s">
        <v>119</v>
      </c>
      <c r="J48" s="4"/>
      <c r="K48" s="15" t="s">
        <v>356</v>
      </c>
      <c r="L48" s="4"/>
    </row>
    <row r="49" customFormat="false" ht="15" hidden="false" customHeight="false" outlineLevel="0" collapsed="false">
      <c r="A49" s="13" t="n">
        <v>45</v>
      </c>
      <c r="B49" s="4" t="s">
        <v>478</v>
      </c>
      <c r="C49" s="4" t="s">
        <v>627</v>
      </c>
      <c r="D49" s="25" t="s">
        <v>362</v>
      </c>
      <c r="E49" s="4" t="s">
        <v>650</v>
      </c>
      <c r="F49" s="4" t="s">
        <v>651</v>
      </c>
      <c r="G49" s="4" t="s">
        <v>361</v>
      </c>
      <c r="H49" s="13" t="s">
        <v>328</v>
      </c>
      <c r="I49" s="13" t="s">
        <v>179</v>
      </c>
      <c r="J49" s="4"/>
      <c r="K49" s="15" t="s">
        <v>356</v>
      </c>
      <c r="L49" s="4"/>
    </row>
    <row r="50" customFormat="false" ht="15" hidden="false" customHeight="false" outlineLevel="0" collapsed="false">
      <c r="A50" s="13" t="n">
        <v>46</v>
      </c>
      <c r="B50" s="4" t="s">
        <v>545</v>
      </c>
      <c r="C50" s="4" t="s">
        <v>368</v>
      </c>
      <c r="D50" s="24" t="s">
        <v>351</v>
      </c>
      <c r="E50" s="4" t="s">
        <v>652</v>
      </c>
      <c r="F50" s="4" t="s">
        <v>653</v>
      </c>
      <c r="G50" s="4" t="s">
        <v>368</v>
      </c>
      <c r="H50" s="13" t="s">
        <v>329</v>
      </c>
      <c r="I50" s="13" t="s">
        <v>119</v>
      </c>
      <c r="J50" s="4" t="s">
        <v>654</v>
      </c>
      <c r="K50" s="15" t="s">
        <v>356</v>
      </c>
      <c r="L50" s="4"/>
    </row>
    <row r="51" customFormat="false" ht="23.85" hidden="false" customHeight="false" outlineLevel="0" collapsed="false">
      <c r="A51" s="13" t="n">
        <v>47</v>
      </c>
      <c r="B51" s="4" t="s">
        <v>478</v>
      </c>
      <c r="C51" s="4" t="s">
        <v>655</v>
      </c>
      <c r="D51" s="25" t="s">
        <v>362</v>
      </c>
      <c r="E51" s="4" t="s">
        <v>656</v>
      </c>
      <c r="F51" s="4" t="s">
        <v>657</v>
      </c>
      <c r="G51" s="4" t="s">
        <v>361</v>
      </c>
      <c r="H51" s="13" t="s">
        <v>329</v>
      </c>
      <c r="I51" s="13" t="s">
        <v>119</v>
      </c>
      <c r="J51" s="4" t="s">
        <v>658</v>
      </c>
      <c r="K51" s="15" t="s">
        <v>356</v>
      </c>
      <c r="L51" s="4"/>
    </row>
    <row r="52" customFormat="false" ht="15" hidden="false" customHeight="false" outlineLevel="0" collapsed="false">
      <c r="A52" s="13" t="n">
        <v>48</v>
      </c>
      <c r="B52" s="4" t="s">
        <v>478</v>
      </c>
      <c r="C52" s="4" t="s">
        <v>655</v>
      </c>
      <c r="D52" s="24" t="s">
        <v>351</v>
      </c>
      <c r="E52" s="4" t="s">
        <v>656</v>
      </c>
      <c r="F52" s="4" t="s">
        <v>659</v>
      </c>
      <c r="G52" s="4" t="s">
        <v>601</v>
      </c>
      <c r="H52" s="13" t="s">
        <v>329</v>
      </c>
      <c r="I52" s="13" t="s">
        <v>119</v>
      </c>
      <c r="J52" s="4" t="s">
        <v>660</v>
      </c>
      <c r="K52" s="15" t="s">
        <v>356</v>
      </c>
      <c r="L52" s="4"/>
    </row>
    <row r="53" customFormat="false" ht="15" hidden="false" customHeight="false" outlineLevel="0" collapsed="false">
      <c r="A53" s="13" t="n">
        <v>49</v>
      </c>
      <c r="B53" s="4" t="s">
        <v>478</v>
      </c>
      <c r="C53" s="4" t="s">
        <v>655</v>
      </c>
      <c r="D53" s="25" t="s">
        <v>362</v>
      </c>
      <c r="E53" s="4" t="s">
        <v>661</v>
      </c>
      <c r="F53" s="4" t="s">
        <v>662</v>
      </c>
      <c r="G53" s="4" t="s">
        <v>361</v>
      </c>
      <c r="H53" s="13" t="s">
        <v>329</v>
      </c>
      <c r="I53" s="13" t="s">
        <v>119</v>
      </c>
      <c r="J53" s="4"/>
      <c r="K53" s="15" t="s">
        <v>356</v>
      </c>
      <c r="L53" s="4"/>
    </row>
    <row r="54" customFormat="false" ht="15" hidden="false" customHeight="false" outlineLevel="0" collapsed="false">
      <c r="A54" s="13" t="n">
        <v>50</v>
      </c>
      <c r="B54" s="4" t="s">
        <v>478</v>
      </c>
      <c r="C54" s="4" t="s">
        <v>655</v>
      </c>
      <c r="D54" s="15" t="s">
        <v>371</v>
      </c>
      <c r="E54" s="4" t="s">
        <v>661</v>
      </c>
      <c r="F54" s="4" t="s">
        <v>663</v>
      </c>
      <c r="G54" s="4" t="s">
        <v>601</v>
      </c>
      <c r="H54" s="13" t="s">
        <v>329</v>
      </c>
      <c r="I54" s="13" t="s">
        <v>119</v>
      </c>
      <c r="J54" s="4"/>
      <c r="K54" s="15" t="s">
        <v>356</v>
      </c>
      <c r="L54" s="4"/>
    </row>
    <row r="55" customFormat="false" ht="15" hidden="false" customHeight="false" outlineLevel="0" collapsed="false">
      <c r="A55" s="13" t="n">
        <v>51</v>
      </c>
      <c r="B55" s="4" t="s">
        <v>478</v>
      </c>
      <c r="C55" s="4" t="s">
        <v>655</v>
      </c>
      <c r="D55" s="24" t="s">
        <v>351</v>
      </c>
      <c r="E55" s="4" t="s">
        <v>664</v>
      </c>
      <c r="F55" s="4" t="s">
        <v>665</v>
      </c>
      <c r="G55" s="4" t="s">
        <v>646</v>
      </c>
      <c r="H55" s="13" t="s">
        <v>329</v>
      </c>
      <c r="I55" s="13" t="s">
        <v>119</v>
      </c>
      <c r="J55" s="4" t="s">
        <v>654</v>
      </c>
      <c r="K55" s="15" t="s">
        <v>356</v>
      </c>
      <c r="L55" s="4"/>
    </row>
    <row r="56" customFormat="false" ht="15" hidden="false" customHeight="false" outlineLevel="0" collapsed="false">
      <c r="A56" s="13" t="n">
        <v>52</v>
      </c>
      <c r="B56" s="4" t="s">
        <v>478</v>
      </c>
      <c r="C56" s="4" t="s">
        <v>655</v>
      </c>
      <c r="D56" s="24" t="s">
        <v>351</v>
      </c>
      <c r="E56" s="4" t="s">
        <v>666</v>
      </c>
      <c r="F56" s="4" t="s">
        <v>667</v>
      </c>
      <c r="G56" s="4" t="s">
        <v>668</v>
      </c>
      <c r="H56" s="13" t="s">
        <v>329</v>
      </c>
      <c r="I56" s="13" t="s">
        <v>119</v>
      </c>
      <c r="J56" s="4"/>
      <c r="K56" s="15" t="s">
        <v>356</v>
      </c>
      <c r="L56" s="4"/>
    </row>
    <row r="57" customFormat="false" ht="15" hidden="false" customHeight="false" outlineLevel="0" collapsed="false">
      <c r="A57" s="13" t="n">
        <v>53</v>
      </c>
      <c r="B57" s="4" t="s">
        <v>478</v>
      </c>
      <c r="C57" s="4" t="s">
        <v>655</v>
      </c>
      <c r="D57" s="24" t="s">
        <v>351</v>
      </c>
      <c r="E57" s="4" t="s">
        <v>669</v>
      </c>
      <c r="F57" s="4" t="s">
        <v>670</v>
      </c>
      <c r="G57" s="4" t="s">
        <v>668</v>
      </c>
      <c r="H57" s="13" t="s">
        <v>329</v>
      </c>
      <c r="I57" s="13" t="s">
        <v>119</v>
      </c>
      <c r="J57" s="4"/>
      <c r="K57" s="15" t="s">
        <v>356</v>
      </c>
      <c r="L57" s="4"/>
    </row>
    <row r="58" customFormat="false" ht="15" hidden="false" customHeight="false" outlineLevel="0" collapsed="false">
      <c r="A58" s="13" t="n">
        <v>54</v>
      </c>
      <c r="B58" s="4" t="s">
        <v>478</v>
      </c>
      <c r="C58" s="4" t="s">
        <v>655</v>
      </c>
      <c r="D58" s="24" t="s">
        <v>351</v>
      </c>
      <c r="E58" s="4" t="s">
        <v>671</v>
      </c>
      <c r="F58" s="4" t="s">
        <v>672</v>
      </c>
      <c r="G58" s="4" t="s">
        <v>646</v>
      </c>
      <c r="H58" s="13" t="s">
        <v>329</v>
      </c>
      <c r="I58" s="13" t="s">
        <v>119</v>
      </c>
      <c r="J58" s="4" t="s">
        <v>673</v>
      </c>
      <c r="K58" s="15" t="s">
        <v>356</v>
      </c>
      <c r="L58" s="4"/>
    </row>
    <row r="59" customFormat="false" ht="23.85" hidden="false" customHeight="false" outlineLevel="0" collapsed="false">
      <c r="A59" s="13" t="n">
        <v>55</v>
      </c>
      <c r="B59" s="4" t="s">
        <v>478</v>
      </c>
      <c r="C59" s="4" t="s">
        <v>655</v>
      </c>
      <c r="D59" s="24" t="s">
        <v>351</v>
      </c>
      <c r="E59" s="4" t="s">
        <v>674</v>
      </c>
      <c r="F59" s="4" t="s">
        <v>675</v>
      </c>
      <c r="G59" s="4" t="s">
        <v>646</v>
      </c>
      <c r="H59" s="13" t="s">
        <v>329</v>
      </c>
      <c r="I59" s="13" t="s">
        <v>119</v>
      </c>
      <c r="J59" s="4" t="s">
        <v>676</v>
      </c>
      <c r="K59" s="15" t="s">
        <v>356</v>
      </c>
      <c r="L59" s="4"/>
    </row>
    <row r="60" customFormat="false" ht="15" hidden="false" customHeight="false" outlineLevel="0" collapsed="false">
      <c r="A60" s="13" t="n">
        <v>56</v>
      </c>
      <c r="B60" s="4" t="s">
        <v>478</v>
      </c>
      <c r="C60" s="4" t="s">
        <v>655</v>
      </c>
      <c r="D60" s="24" t="s">
        <v>351</v>
      </c>
      <c r="E60" s="4" t="s">
        <v>677</v>
      </c>
      <c r="F60" s="4" t="s">
        <v>678</v>
      </c>
      <c r="G60" s="4" t="s">
        <v>668</v>
      </c>
      <c r="H60" s="13" t="s">
        <v>329</v>
      </c>
      <c r="I60" s="13" t="s">
        <v>119</v>
      </c>
      <c r="J60" s="4" t="s">
        <v>654</v>
      </c>
      <c r="K60" s="15" t="s">
        <v>356</v>
      </c>
      <c r="L60" s="4"/>
    </row>
    <row r="61" customFormat="false" ht="15" hidden="false" customHeight="false" outlineLevel="0" collapsed="false">
      <c r="A61" s="13" t="n">
        <v>57</v>
      </c>
      <c r="B61" s="4" t="s">
        <v>478</v>
      </c>
      <c r="C61" s="4" t="s">
        <v>655</v>
      </c>
      <c r="D61" s="24" t="s">
        <v>351</v>
      </c>
      <c r="E61" s="4" t="s">
        <v>679</v>
      </c>
      <c r="F61" s="4" t="s">
        <v>680</v>
      </c>
      <c r="G61" s="4" t="s">
        <v>668</v>
      </c>
      <c r="H61" s="13" t="s">
        <v>329</v>
      </c>
      <c r="I61" s="13" t="s">
        <v>179</v>
      </c>
      <c r="J61" s="4"/>
      <c r="K61" s="15" t="s">
        <v>356</v>
      </c>
      <c r="L61" s="4"/>
    </row>
    <row r="62" customFormat="false" ht="15" hidden="false" customHeight="false" outlineLevel="0" collapsed="false">
      <c r="A62" s="13" t="n">
        <v>58</v>
      </c>
      <c r="B62" s="4" t="s">
        <v>478</v>
      </c>
      <c r="C62" s="4" t="s">
        <v>655</v>
      </c>
      <c r="D62" s="24" t="s">
        <v>351</v>
      </c>
      <c r="E62" s="4" t="s">
        <v>681</v>
      </c>
      <c r="F62" s="4" t="s">
        <v>682</v>
      </c>
      <c r="G62" s="4" t="s">
        <v>601</v>
      </c>
      <c r="H62" s="13" t="s">
        <v>329</v>
      </c>
      <c r="I62" s="13" t="s">
        <v>119</v>
      </c>
      <c r="J62" s="4" t="s">
        <v>683</v>
      </c>
      <c r="K62" s="15" t="s">
        <v>356</v>
      </c>
      <c r="L62" s="4"/>
    </row>
    <row r="63" customFormat="false" ht="15" hidden="false" customHeight="false" outlineLevel="0" collapsed="false">
      <c r="A63" s="13" t="n">
        <v>59</v>
      </c>
      <c r="B63" s="4" t="s">
        <v>478</v>
      </c>
      <c r="C63" s="4" t="s">
        <v>655</v>
      </c>
      <c r="D63" s="25" t="s">
        <v>362</v>
      </c>
      <c r="E63" s="4" t="s">
        <v>684</v>
      </c>
      <c r="F63" s="4" t="s">
        <v>685</v>
      </c>
      <c r="G63" s="4" t="s">
        <v>361</v>
      </c>
      <c r="H63" s="13" t="s">
        <v>329</v>
      </c>
      <c r="I63" s="13" t="s">
        <v>179</v>
      </c>
      <c r="J63" s="4"/>
      <c r="K63" s="15" t="s">
        <v>356</v>
      </c>
      <c r="L63" s="4"/>
    </row>
    <row r="64" customFormat="false" ht="15" hidden="false" customHeight="false" outlineLevel="0" collapsed="false">
      <c r="A64" s="13" t="n">
        <v>60</v>
      </c>
      <c r="B64" s="4" t="s">
        <v>478</v>
      </c>
      <c r="C64" s="4" t="s">
        <v>686</v>
      </c>
      <c r="D64" s="25" t="s">
        <v>362</v>
      </c>
      <c r="E64" s="4" t="s">
        <v>687</v>
      </c>
      <c r="F64" s="4" t="s">
        <v>688</v>
      </c>
      <c r="G64" s="4" t="s">
        <v>361</v>
      </c>
      <c r="H64" s="13" t="s">
        <v>330</v>
      </c>
      <c r="I64" s="13" t="s">
        <v>119</v>
      </c>
      <c r="J64" s="4" t="s">
        <v>689</v>
      </c>
      <c r="K64" s="15" t="s">
        <v>356</v>
      </c>
      <c r="L64" s="4"/>
    </row>
    <row r="65" customFormat="false" ht="23.85" hidden="false" customHeight="false" outlineLevel="0" collapsed="false">
      <c r="A65" s="13" t="n">
        <v>61</v>
      </c>
      <c r="B65" s="4" t="s">
        <v>478</v>
      </c>
      <c r="C65" s="4" t="s">
        <v>686</v>
      </c>
      <c r="D65" s="24" t="s">
        <v>351</v>
      </c>
      <c r="E65" s="4" t="s">
        <v>687</v>
      </c>
      <c r="F65" s="4" t="s">
        <v>690</v>
      </c>
      <c r="G65" s="4" t="s">
        <v>635</v>
      </c>
      <c r="H65" s="13" t="s">
        <v>330</v>
      </c>
      <c r="I65" s="13" t="s">
        <v>119</v>
      </c>
      <c r="J65" s="4" t="s">
        <v>691</v>
      </c>
      <c r="K65" s="15" t="s">
        <v>356</v>
      </c>
      <c r="L65" s="4"/>
    </row>
    <row r="66" customFormat="false" ht="15" hidden="false" customHeight="false" outlineLevel="0" collapsed="false">
      <c r="A66" s="13" t="n">
        <v>62</v>
      </c>
      <c r="B66" s="4" t="s">
        <v>478</v>
      </c>
      <c r="C66" s="4" t="s">
        <v>686</v>
      </c>
      <c r="D66" s="25" t="s">
        <v>362</v>
      </c>
      <c r="E66" s="4" t="s">
        <v>692</v>
      </c>
      <c r="F66" s="4" t="s">
        <v>693</v>
      </c>
      <c r="G66" s="4" t="s">
        <v>361</v>
      </c>
      <c r="H66" s="13" t="s">
        <v>330</v>
      </c>
      <c r="I66" s="13" t="s">
        <v>119</v>
      </c>
      <c r="J66" s="4"/>
      <c r="K66" s="15" t="s">
        <v>356</v>
      </c>
      <c r="L66" s="4"/>
    </row>
    <row r="67" customFormat="false" ht="15" hidden="false" customHeight="false" outlineLevel="0" collapsed="false">
      <c r="A67" s="13" t="n">
        <v>63</v>
      </c>
      <c r="B67" s="4" t="s">
        <v>478</v>
      </c>
      <c r="C67" s="4" t="s">
        <v>686</v>
      </c>
      <c r="D67" s="15" t="s">
        <v>371</v>
      </c>
      <c r="E67" s="4" t="s">
        <v>692</v>
      </c>
      <c r="F67" s="4" t="s">
        <v>694</v>
      </c>
      <c r="G67" s="4" t="s">
        <v>601</v>
      </c>
      <c r="H67" s="13" t="s">
        <v>330</v>
      </c>
      <c r="I67" s="13" t="s">
        <v>179</v>
      </c>
      <c r="J67" s="4"/>
      <c r="K67" s="15" t="s">
        <v>356</v>
      </c>
      <c r="L67" s="4"/>
    </row>
    <row r="68" customFormat="false" ht="15" hidden="false" customHeight="false" outlineLevel="0" collapsed="false">
      <c r="A68" s="13" t="n">
        <v>64</v>
      </c>
      <c r="B68" s="4" t="s">
        <v>478</v>
      </c>
      <c r="C68" s="4" t="s">
        <v>686</v>
      </c>
      <c r="D68" s="24" t="s">
        <v>351</v>
      </c>
      <c r="E68" s="4" t="s">
        <v>695</v>
      </c>
      <c r="F68" s="4" t="s">
        <v>696</v>
      </c>
      <c r="G68" s="4" t="s">
        <v>646</v>
      </c>
      <c r="H68" s="13" t="s">
        <v>330</v>
      </c>
      <c r="I68" s="13" t="s">
        <v>119</v>
      </c>
      <c r="J68" s="4" t="s">
        <v>697</v>
      </c>
      <c r="K68" s="15" t="s">
        <v>356</v>
      </c>
      <c r="L68" s="4"/>
    </row>
    <row r="69" customFormat="false" ht="15" hidden="false" customHeight="false" outlineLevel="0" collapsed="false">
      <c r="A69" s="13" t="n">
        <v>65</v>
      </c>
      <c r="B69" s="4" t="s">
        <v>478</v>
      </c>
      <c r="C69" s="4" t="s">
        <v>686</v>
      </c>
      <c r="D69" s="25" t="s">
        <v>362</v>
      </c>
      <c r="E69" s="4" t="s">
        <v>698</v>
      </c>
      <c r="F69" s="4" t="s">
        <v>699</v>
      </c>
      <c r="G69" s="4" t="s">
        <v>361</v>
      </c>
      <c r="H69" s="13" t="s">
        <v>330</v>
      </c>
      <c r="I69" s="13" t="s">
        <v>119</v>
      </c>
      <c r="J69" s="4" t="s">
        <v>689</v>
      </c>
      <c r="K69" s="15" t="s">
        <v>356</v>
      </c>
      <c r="L69" s="4"/>
    </row>
    <row r="70" customFormat="false" ht="15" hidden="false" customHeight="false" outlineLevel="0" collapsed="false">
      <c r="A70" s="13" t="n">
        <v>66</v>
      </c>
      <c r="B70" s="4" t="s">
        <v>478</v>
      </c>
      <c r="C70" s="4" t="s">
        <v>686</v>
      </c>
      <c r="D70" s="24" t="s">
        <v>351</v>
      </c>
      <c r="E70" s="4" t="s">
        <v>700</v>
      </c>
      <c r="F70" s="4" t="s">
        <v>701</v>
      </c>
      <c r="G70" s="4" t="s">
        <v>601</v>
      </c>
      <c r="H70" s="13" t="s">
        <v>330</v>
      </c>
      <c r="I70" s="13" t="s">
        <v>301</v>
      </c>
      <c r="J70" s="4"/>
      <c r="K70" s="15" t="s">
        <v>356</v>
      </c>
      <c r="L70" s="4"/>
    </row>
    <row r="71" customFormat="false" ht="15" hidden="false" customHeight="false" outlineLevel="0" collapsed="false">
      <c r="A71" s="13" t="n">
        <v>67</v>
      </c>
      <c r="B71" s="4" t="s">
        <v>478</v>
      </c>
      <c r="C71" s="4" t="s">
        <v>702</v>
      </c>
      <c r="D71" s="24" t="s">
        <v>351</v>
      </c>
      <c r="E71" s="4" t="s">
        <v>703</v>
      </c>
      <c r="F71" s="4" t="s">
        <v>704</v>
      </c>
      <c r="G71" s="4" t="s">
        <v>361</v>
      </c>
      <c r="H71" s="13" t="s">
        <v>330</v>
      </c>
      <c r="I71" s="13" t="s">
        <v>119</v>
      </c>
      <c r="J71" s="4" t="s">
        <v>705</v>
      </c>
      <c r="K71" s="15" t="s">
        <v>356</v>
      </c>
      <c r="L71" s="4"/>
    </row>
    <row r="72" customFormat="false" ht="23.85" hidden="false" customHeight="false" outlineLevel="0" collapsed="false">
      <c r="A72" s="13" t="n">
        <v>68</v>
      </c>
      <c r="B72" s="4" t="s">
        <v>478</v>
      </c>
      <c r="C72" s="4" t="s">
        <v>702</v>
      </c>
      <c r="D72" s="24" t="s">
        <v>351</v>
      </c>
      <c r="E72" s="4" t="s">
        <v>706</v>
      </c>
      <c r="F72" s="4" t="s">
        <v>707</v>
      </c>
      <c r="G72" s="4" t="s">
        <v>708</v>
      </c>
      <c r="H72" s="13" t="s">
        <v>330</v>
      </c>
      <c r="I72" s="13" t="s">
        <v>119</v>
      </c>
      <c r="J72" s="4" t="s">
        <v>705</v>
      </c>
      <c r="K72" s="15" t="s">
        <v>356</v>
      </c>
      <c r="L72" s="4"/>
    </row>
    <row r="73" customFormat="false" ht="15" hidden="false" customHeight="false" outlineLevel="0" collapsed="false">
      <c r="A73" s="13" t="n">
        <v>69</v>
      </c>
      <c r="B73" s="4" t="s">
        <v>478</v>
      </c>
      <c r="C73" s="4" t="s">
        <v>702</v>
      </c>
      <c r="D73" s="25" t="s">
        <v>362</v>
      </c>
      <c r="E73" s="4" t="s">
        <v>706</v>
      </c>
      <c r="F73" s="4" t="s">
        <v>709</v>
      </c>
      <c r="G73" s="4" t="s">
        <v>361</v>
      </c>
      <c r="H73" s="13" t="s">
        <v>330</v>
      </c>
      <c r="I73" s="13" t="s">
        <v>119</v>
      </c>
      <c r="J73" s="4"/>
      <c r="K73" s="15" t="s">
        <v>356</v>
      </c>
      <c r="L73" s="4"/>
    </row>
    <row r="74" customFormat="false" ht="15" hidden="false" customHeight="false" outlineLevel="0" collapsed="false">
      <c r="A74" s="13" t="n">
        <v>70</v>
      </c>
      <c r="B74" s="4" t="s">
        <v>478</v>
      </c>
      <c r="C74" s="4" t="s">
        <v>702</v>
      </c>
      <c r="D74" s="25" t="s">
        <v>362</v>
      </c>
      <c r="E74" s="4" t="s">
        <v>710</v>
      </c>
      <c r="F74" s="4" t="s">
        <v>711</v>
      </c>
      <c r="G74" s="4" t="s">
        <v>361</v>
      </c>
      <c r="H74" s="13" t="s">
        <v>330</v>
      </c>
      <c r="I74" s="13" t="s">
        <v>119</v>
      </c>
      <c r="J74" s="4"/>
      <c r="K74" s="15" t="s">
        <v>356</v>
      </c>
      <c r="L74" s="4"/>
    </row>
    <row r="75" customFormat="false" ht="15" hidden="false" customHeight="false" outlineLevel="0" collapsed="false">
      <c r="A75" s="13" t="n">
        <v>71</v>
      </c>
      <c r="B75" s="4" t="s">
        <v>478</v>
      </c>
      <c r="C75" s="4" t="s">
        <v>702</v>
      </c>
      <c r="D75" s="24" t="s">
        <v>351</v>
      </c>
      <c r="E75" s="4" t="s">
        <v>712</v>
      </c>
      <c r="F75" s="4" t="s">
        <v>713</v>
      </c>
      <c r="G75" s="4" t="s">
        <v>601</v>
      </c>
      <c r="H75" s="13" t="s">
        <v>330</v>
      </c>
      <c r="I75" s="13" t="s">
        <v>119</v>
      </c>
      <c r="J75" s="4"/>
      <c r="K75" s="15" t="s">
        <v>356</v>
      </c>
      <c r="L75" s="4"/>
    </row>
    <row r="76" customFormat="false" ht="23.85" hidden="false" customHeight="false" outlineLevel="0" collapsed="false">
      <c r="A76" s="13" t="n">
        <v>72</v>
      </c>
      <c r="B76" s="4" t="s">
        <v>545</v>
      </c>
      <c r="C76" s="4" t="s">
        <v>714</v>
      </c>
      <c r="D76" s="25" t="s">
        <v>362</v>
      </c>
      <c r="E76" s="4" t="s">
        <v>715</v>
      </c>
      <c r="F76" s="4" t="s">
        <v>716</v>
      </c>
      <c r="G76" s="4" t="s">
        <v>424</v>
      </c>
      <c r="H76" s="13" t="s">
        <v>331</v>
      </c>
      <c r="I76" s="13" t="s">
        <v>119</v>
      </c>
      <c r="J76" s="4" t="s">
        <v>717</v>
      </c>
      <c r="K76" s="15" t="s">
        <v>356</v>
      </c>
      <c r="L76" s="4"/>
    </row>
    <row r="77" customFormat="false" ht="15" hidden="false" customHeight="false" outlineLevel="0" collapsed="false">
      <c r="A77" s="13" t="n">
        <v>73</v>
      </c>
      <c r="B77" s="4" t="s">
        <v>545</v>
      </c>
      <c r="C77" s="4" t="s">
        <v>714</v>
      </c>
      <c r="D77" s="24" t="s">
        <v>351</v>
      </c>
      <c r="E77" s="4" t="s">
        <v>715</v>
      </c>
      <c r="F77" s="4" t="s">
        <v>718</v>
      </c>
      <c r="G77" s="4" t="s">
        <v>601</v>
      </c>
      <c r="H77" s="13" t="s">
        <v>331</v>
      </c>
      <c r="I77" s="13" t="s">
        <v>119</v>
      </c>
      <c r="J77" s="4" t="s">
        <v>719</v>
      </c>
      <c r="K77" s="15" t="s">
        <v>356</v>
      </c>
      <c r="L77" s="4"/>
    </row>
    <row r="78" customFormat="false" ht="23.85" hidden="false" customHeight="false" outlineLevel="0" collapsed="false">
      <c r="A78" s="13" t="n">
        <v>74</v>
      </c>
      <c r="B78" s="4" t="s">
        <v>545</v>
      </c>
      <c r="C78" s="4" t="s">
        <v>714</v>
      </c>
      <c r="D78" s="25" t="s">
        <v>362</v>
      </c>
      <c r="E78" s="4" t="s">
        <v>720</v>
      </c>
      <c r="F78" s="4" t="s">
        <v>721</v>
      </c>
      <c r="G78" s="4" t="s">
        <v>424</v>
      </c>
      <c r="H78" s="13" t="s">
        <v>331</v>
      </c>
      <c r="I78" s="13" t="s">
        <v>119</v>
      </c>
      <c r="J78" s="4"/>
      <c r="K78" s="15" t="s">
        <v>356</v>
      </c>
      <c r="L78" s="4"/>
    </row>
    <row r="79" customFormat="false" ht="15" hidden="false" customHeight="false" outlineLevel="0" collapsed="false">
      <c r="A79" s="13" t="n">
        <v>75</v>
      </c>
      <c r="B79" s="4" t="s">
        <v>545</v>
      </c>
      <c r="C79" s="4" t="s">
        <v>714</v>
      </c>
      <c r="D79" s="15" t="s">
        <v>371</v>
      </c>
      <c r="E79" s="4" t="s">
        <v>722</v>
      </c>
      <c r="F79" s="4" t="s">
        <v>723</v>
      </c>
      <c r="G79" s="4" t="s">
        <v>646</v>
      </c>
      <c r="H79" s="13" t="s">
        <v>331</v>
      </c>
      <c r="I79" s="13" t="s">
        <v>119</v>
      </c>
      <c r="J79" s="4"/>
      <c r="K79" s="15" t="s">
        <v>356</v>
      </c>
      <c r="L79" s="4"/>
    </row>
    <row r="80" customFormat="false" ht="15" hidden="false" customHeight="false" outlineLevel="0" collapsed="false">
      <c r="A80" s="13" t="n">
        <v>76</v>
      </c>
      <c r="B80" s="4" t="s">
        <v>545</v>
      </c>
      <c r="C80" s="4" t="s">
        <v>714</v>
      </c>
      <c r="D80" s="24" t="s">
        <v>351</v>
      </c>
      <c r="E80" s="4" t="s">
        <v>724</v>
      </c>
      <c r="F80" s="4" t="s">
        <v>725</v>
      </c>
      <c r="G80" s="4" t="s">
        <v>646</v>
      </c>
      <c r="H80" s="13" t="s">
        <v>331</v>
      </c>
      <c r="I80" s="13" t="s">
        <v>119</v>
      </c>
      <c r="J80" s="4"/>
      <c r="K80" s="15" t="s">
        <v>356</v>
      </c>
      <c r="L80" s="4"/>
    </row>
    <row r="81" customFormat="false" ht="15" hidden="false" customHeight="false" outlineLevel="0" collapsed="false">
      <c r="A81" s="13" t="n">
        <v>77</v>
      </c>
      <c r="B81" s="4" t="s">
        <v>545</v>
      </c>
      <c r="C81" s="4" t="s">
        <v>714</v>
      </c>
      <c r="D81" s="24" t="s">
        <v>351</v>
      </c>
      <c r="E81" s="4" t="s">
        <v>726</v>
      </c>
      <c r="F81" s="4" t="s">
        <v>727</v>
      </c>
      <c r="G81" s="4" t="s">
        <v>668</v>
      </c>
      <c r="H81" s="13" t="s">
        <v>331</v>
      </c>
      <c r="I81" s="13" t="s">
        <v>119</v>
      </c>
      <c r="J81" s="4" t="s">
        <v>404</v>
      </c>
      <c r="K81" s="15" t="s">
        <v>356</v>
      </c>
      <c r="L81" s="4"/>
    </row>
    <row r="82" customFormat="false" ht="15" hidden="false" customHeight="false" outlineLevel="0" collapsed="false">
      <c r="A82" s="13" t="n">
        <v>78</v>
      </c>
      <c r="B82" s="4" t="s">
        <v>545</v>
      </c>
      <c r="C82" s="4" t="s">
        <v>714</v>
      </c>
      <c r="D82" s="24" t="s">
        <v>351</v>
      </c>
      <c r="E82" s="4" t="s">
        <v>728</v>
      </c>
      <c r="F82" s="4" t="s">
        <v>729</v>
      </c>
      <c r="G82" s="4" t="s">
        <v>601</v>
      </c>
      <c r="H82" s="13" t="s">
        <v>331</v>
      </c>
      <c r="I82" s="13" t="s">
        <v>179</v>
      </c>
      <c r="J82" s="4"/>
      <c r="K82" s="15" t="s">
        <v>356</v>
      </c>
      <c r="L82" s="4"/>
    </row>
    <row r="83" customFormat="false" ht="15" hidden="false" customHeight="false" outlineLevel="0" collapsed="false">
      <c r="A83" s="13" t="n">
        <v>79</v>
      </c>
      <c r="B83" s="4" t="s">
        <v>545</v>
      </c>
      <c r="C83" s="4" t="s">
        <v>730</v>
      </c>
      <c r="D83" s="25" t="s">
        <v>362</v>
      </c>
      <c r="E83" s="4" t="s">
        <v>731</v>
      </c>
      <c r="F83" s="4" t="s">
        <v>732</v>
      </c>
      <c r="G83" s="4" t="s">
        <v>361</v>
      </c>
      <c r="H83" s="13" t="s">
        <v>331</v>
      </c>
      <c r="I83" s="13" t="s">
        <v>301</v>
      </c>
      <c r="J83" s="4" t="s">
        <v>733</v>
      </c>
      <c r="K83" s="15" t="s">
        <v>356</v>
      </c>
      <c r="L83" s="4"/>
    </row>
    <row r="84" customFormat="false" ht="15" hidden="false" customHeight="false" outlineLevel="0" collapsed="false">
      <c r="A84" s="13" t="n">
        <v>80</v>
      </c>
      <c r="B84" s="4" t="s">
        <v>545</v>
      </c>
      <c r="C84" s="4" t="s">
        <v>730</v>
      </c>
      <c r="D84" s="24" t="s">
        <v>351</v>
      </c>
      <c r="E84" s="4" t="s">
        <v>731</v>
      </c>
      <c r="F84" s="4" t="s">
        <v>734</v>
      </c>
      <c r="G84" s="4" t="s">
        <v>735</v>
      </c>
      <c r="H84" s="13" t="s">
        <v>331</v>
      </c>
      <c r="I84" s="13" t="s">
        <v>301</v>
      </c>
      <c r="J84" s="4"/>
      <c r="K84" s="15" t="s">
        <v>356</v>
      </c>
      <c r="L84" s="4"/>
    </row>
    <row r="85" customFormat="false" ht="15" hidden="false" customHeight="false" outlineLevel="0" collapsed="false">
      <c r="A85" s="13" t="n">
        <v>81</v>
      </c>
      <c r="B85" s="4" t="s">
        <v>545</v>
      </c>
      <c r="C85" s="4" t="s">
        <v>730</v>
      </c>
      <c r="D85" s="26" t="s">
        <v>399</v>
      </c>
      <c r="E85" s="4" t="s">
        <v>736</v>
      </c>
      <c r="F85" s="4" t="s">
        <v>737</v>
      </c>
      <c r="G85" s="4" t="s">
        <v>646</v>
      </c>
      <c r="H85" s="13" t="s">
        <v>331</v>
      </c>
      <c r="I85" s="13" t="s">
        <v>301</v>
      </c>
      <c r="J85" s="4"/>
      <c r="K85" s="15" t="s">
        <v>356</v>
      </c>
      <c r="L85" s="4"/>
    </row>
  </sheetData>
  <autoFilter ref="A4:L85"/>
  <dataValidations count="1">
    <dataValidation allowBlank="false" errorStyle="stop" operator="between" showDropDown="false" showErrorMessage="false" showInputMessage="false" sqref="K5:K85" type="list">
      <formula1>"Chưa làm,Đang làm,Xong BE,Đã test"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4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4"/>
    <col collapsed="false" customWidth="true" hidden="false" outlineLevel="0" max="3" min="3" style="0" width="8"/>
    <col collapsed="false" customWidth="true" hidden="false" outlineLevel="0" max="4" min="4" style="0" width="42"/>
    <col collapsed="false" customWidth="true" hidden="false" outlineLevel="0" max="5" min="5" style="0" width="60"/>
    <col collapsed="false" customWidth="true" hidden="false" outlineLevel="0" max="6" min="6" style="0" width="12"/>
    <col collapsed="false" customWidth="true" hidden="false" outlineLevel="0" max="8" min="7" style="0" width="10"/>
    <col collapsed="false" customWidth="true" hidden="false" outlineLevel="0" max="9" min="9" style="0" width="8"/>
    <col collapsed="false" customWidth="true" hidden="false" outlineLevel="0" max="10" min="10" style="0" width="22"/>
    <col collapsed="false" customWidth="true" hidden="false" outlineLevel="0" max="11" min="11" style="0" width="15"/>
  </cols>
  <sheetData>
    <row r="1" customFormat="false" ht="17.35" hidden="false" customHeight="false" outlineLevel="0" collapsed="false">
      <c r="A1" s="1" t="s">
        <v>738</v>
      </c>
    </row>
    <row r="2" customFormat="false" ht="15" hidden="false" customHeight="false" outlineLevel="0" collapsed="false">
      <c r="A2" s="2" t="s">
        <v>739</v>
      </c>
    </row>
    <row r="4" customFormat="false" ht="35.05" hidden="false" customHeight="false" outlineLevel="0" collapsed="false">
      <c r="A4" s="6" t="s">
        <v>341</v>
      </c>
      <c r="B4" s="6" t="s">
        <v>343</v>
      </c>
      <c r="C4" s="6" t="s">
        <v>344</v>
      </c>
      <c r="D4" s="6" t="s">
        <v>345</v>
      </c>
      <c r="E4" s="6" t="s">
        <v>346</v>
      </c>
      <c r="F4" s="6" t="s">
        <v>740</v>
      </c>
      <c r="G4" s="6" t="s">
        <v>741</v>
      </c>
      <c r="H4" s="6" t="s">
        <v>742</v>
      </c>
      <c r="I4" s="6" t="s">
        <v>101</v>
      </c>
      <c r="J4" s="6" t="s">
        <v>743</v>
      </c>
      <c r="K4" s="6" t="s">
        <v>104</v>
      </c>
    </row>
    <row r="5" customFormat="false" ht="23.85" hidden="false" customHeight="false" outlineLevel="0" collapsed="false">
      <c r="A5" s="13" t="n">
        <v>1</v>
      </c>
      <c r="B5" s="4" t="s">
        <v>150</v>
      </c>
      <c r="C5" s="24" t="s">
        <v>351</v>
      </c>
      <c r="D5" s="4" t="s">
        <v>352</v>
      </c>
      <c r="E5" s="4" t="s">
        <v>353</v>
      </c>
      <c r="F5" s="13" t="s">
        <v>30</v>
      </c>
      <c r="G5" s="13" t="s">
        <v>325</v>
      </c>
      <c r="H5" s="13" t="s">
        <v>326</v>
      </c>
      <c r="I5" s="13" t="s">
        <v>119</v>
      </c>
      <c r="J5" s="4"/>
      <c r="K5" s="15" t="s">
        <v>744</v>
      </c>
    </row>
    <row r="6" customFormat="false" ht="15" hidden="false" customHeight="false" outlineLevel="0" collapsed="false">
      <c r="A6" s="13" t="n">
        <v>2</v>
      </c>
      <c r="B6" s="4" t="s">
        <v>150</v>
      </c>
      <c r="C6" s="24" t="s">
        <v>351</v>
      </c>
      <c r="D6" s="4" t="s">
        <v>357</v>
      </c>
      <c r="E6" s="4" t="s">
        <v>358</v>
      </c>
      <c r="F6" s="13" t="s">
        <v>30</v>
      </c>
      <c r="G6" s="13" t="s">
        <v>325</v>
      </c>
      <c r="H6" s="13" t="s">
        <v>326</v>
      </c>
      <c r="I6" s="13" t="s">
        <v>119</v>
      </c>
      <c r="J6" s="4"/>
      <c r="K6" s="15" t="s">
        <v>744</v>
      </c>
    </row>
    <row r="7" customFormat="false" ht="15" hidden="false" customHeight="false" outlineLevel="0" collapsed="false">
      <c r="A7" s="13" t="n">
        <v>3</v>
      </c>
      <c r="B7" s="4" t="s">
        <v>150</v>
      </c>
      <c r="C7" s="24" t="s">
        <v>351</v>
      </c>
      <c r="D7" s="4" t="s">
        <v>359</v>
      </c>
      <c r="E7" s="4" t="s">
        <v>360</v>
      </c>
      <c r="F7" s="13" t="s">
        <v>30</v>
      </c>
      <c r="G7" s="13" t="s">
        <v>325</v>
      </c>
      <c r="H7" s="13" t="s">
        <v>326</v>
      </c>
      <c r="I7" s="13" t="s">
        <v>119</v>
      </c>
      <c r="J7" s="4"/>
      <c r="K7" s="15" t="s">
        <v>744</v>
      </c>
    </row>
    <row r="8" customFormat="false" ht="15" hidden="false" customHeight="false" outlineLevel="0" collapsed="false">
      <c r="A8" s="13" t="n">
        <v>4</v>
      </c>
      <c r="B8" s="4" t="s">
        <v>150</v>
      </c>
      <c r="C8" s="25" t="s">
        <v>362</v>
      </c>
      <c r="D8" s="4" t="s">
        <v>363</v>
      </c>
      <c r="E8" s="4" t="s">
        <v>364</v>
      </c>
      <c r="F8" s="13" t="s">
        <v>30</v>
      </c>
      <c r="G8" s="13" t="s">
        <v>325</v>
      </c>
      <c r="H8" s="13" t="s">
        <v>326</v>
      </c>
      <c r="I8" s="13" t="s">
        <v>119</v>
      </c>
      <c r="J8" s="4"/>
      <c r="K8" s="15" t="s">
        <v>744</v>
      </c>
    </row>
    <row r="9" customFormat="false" ht="15" hidden="false" customHeight="false" outlineLevel="0" collapsed="false">
      <c r="A9" s="13" t="n">
        <v>5</v>
      </c>
      <c r="B9" s="4" t="s">
        <v>546</v>
      </c>
      <c r="C9" s="25" t="s">
        <v>362</v>
      </c>
      <c r="D9" s="4" t="s">
        <v>547</v>
      </c>
      <c r="E9" s="4" t="s">
        <v>548</v>
      </c>
      <c r="F9" s="13" t="s">
        <v>34</v>
      </c>
      <c r="G9" s="13" t="s">
        <v>325</v>
      </c>
      <c r="H9" s="13" t="s">
        <v>326</v>
      </c>
      <c r="I9" s="13" t="s">
        <v>119</v>
      </c>
      <c r="J9" s="4"/>
      <c r="K9" s="15" t="s">
        <v>744</v>
      </c>
    </row>
    <row r="10" customFormat="false" ht="15" hidden="false" customHeight="false" outlineLevel="0" collapsed="false">
      <c r="A10" s="13" t="n">
        <v>6</v>
      </c>
      <c r="B10" s="4" t="s">
        <v>546</v>
      </c>
      <c r="C10" s="24" t="s">
        <v>351</v>
      </c>
      <c r="D10" s="4" t="s">
        <v>547</v>
      </c>
      <c r="E10" s="4" t="s">
        <v>550</v>
      </c>
      <c r="F10" s="13" t="s">
        <v>34</v>
      </c>
      <c r="G10" s="13" t="s">
        <v>325</v>
      </c>
      <c r="H10" s="13" t="s">
        <v>326</v>
      </c>
      <c r="I10" s="13" t="s">
        <v>119</v>
      </c>
      <c r="J10" s="4"/>
      <c r="K10" s="15" t="s">
        <v>744</v>
      </c>
    </row>
    <row r="11" customFormat="false" ht="15" hidden="false" customHeight="false" outlineLevel="0" collapsed="false">
      <c r="A11" s="13" t="n">
        <v>7</v>
      </c>
      <c r="B11" s="4" t="s">
        <v>546</v>
      </c>
      <c r="C11" s="25" t="s">
        <v>362</v>
      </c>
      <c r="D11" s="4" t="s">
        <v>552</v>
      </c>
      <c r="E11" s="4" t="s">
        <v>553</v>
      </c>
      <c r="F11" s="13" t="s">
        <v>34</v>
      </c>
      <c r="G11" s="13" t="s">
        <v>325</v>
      </c>
      <c r="H11" s="13" t="s">
        <v>326</v>
      </c>
      <c r="I11" s="13" t="s">
        <v>119</v>
      </c>
      <c r="J11" s="4"/>
      <c r="K11" s="15" t="s">
        <v>744</v>
      </c>
    </row>
    <row r="12" customFormat="false" ht="15" hidden="false" customHeight="false" outlineLevel="0" collapsed="false">
      <c r="A12" s="13" t="n">
        <v>8</v>
      </c>
      <c r="B12" s="4" t="s">
        <v>546</v>
      </c>
      <c r="C12" s="15" t="s">
        <v>371</v>
      </c>
      <c r="D12" s="4" t="s">
        <v>552</v>
      </c>
      <c r="E12" s="4" t="s">
        <v>554</v>
      </c>
      <c r="F12" s="13" t="s">
        <v>34</v>
      </c>
      <c r="G12" s="13" t="s">
        <v>325</v>
      </c>
      <c r="H12" s="13" t="s">
        <v>326</v>
      </c>
      <c r="I12" s="13" t="s">
        <v>119</v>
      </c>
      <c r="J12" s="4"/>
      <c r="K12" s="15" t="s">
        <v>744</v>
      </c>
    </row>
    <row r="13" customFormat="false" ht="23.85" hidden="false" customHeight="false" outlineLevel="0" collapsed="false">
      <c r="A13" s="13" t="n">
        <v>9</v>
      </c>
      <c r="B13" s="4" t="s">
        <v>546</v>
      </c>
      <c r="C13" s="25" t="s">
        <v>362</v>
      </c>
      <c r="D13" s="4" t="s">
        <v>555</v>
      </c>
      <c r="E13" s="4" t="s">
        <v>556</v>
      </c>
      <c r="F13" s="13" t="s">
        <v>34</v>
      </c>
      <c r="G13" s="13" t="s">
        <v>325</v>
      </c>
      <c r="H13" s="13" t="s">
        <v>326</v>
      </c>
      <c r="I13" s="13" t="s">
        <v>119</v>
      </c>
      <c r="J13" s="4"/>
      <c r="K13" s="15" t="s">
        <v>744</v>
      </c>
    </row>
    <row r="14" customFormat="false" ht="15" hidden="false" customHeight="false" outlineLevel="0" collapsed="false">
      <c r="A14" s="13" t="n">
        <v>10</v>
      </c>
      <c r="B14" s="4" t="s">
        <v>546</v>
      </c>
      <c r="C14" s="26" t="s">
        <v>399</v>
      </c>
      <c r="D14" s="4" t="s">
        <v>557</v>
      </c>
      <c r="E14" s="4" t="s">
        <v>558</v>
      </c>
      <c r="F14" s="13" t="s">
        <v>34</v>
      </c>
      <c r="G14" s="13" t="s">
        <v>325</v>
      </c>
      <c r="H14" s="13" t="s">
        <v>326</v>
      </c>
      <c r="I14" s="13" t="s">
        <v>119</v>
      </c>
      <c r="J14" s="4"/>
      <c r="K14" s="15" t="s">
        <v>744</v>
      </c>
    </row>
    <row r="15" customFormat="false" ht="15" hidden="false" customHeight="false" outlineLevel="0" collapsed="false">
      <c r="A15" s="13" t="n">
        <v>11</v>
      </c>
      <c r="B15" s="4" t="s">
        <v>546</v>
      </c>
      <c r="C15" s="26" t="s">
        <v>399</v>
      </c>
      <c r="D15" s="4" t="s">
        <v>560</v>
      </c>
      <c r="E15" s="4" t="s">
        <v>561</v>
      </c>
      <c r="F15" s="13" t="s">
        <v>34</v>
      </c>
      <c r="G15" s="13" t="s">
        <v>325</v>
      </c>
      <c r="H15" s="13" t="s">
        <v>326</v>
      </c>
      <c r="I15" s="13" t="s">
        <v>179</v>
      </c>
      <c r="J15" s="4"/>
      <c r="K15" s="15" t="s">
        <v>744</v>
      </c>
    </row>
    <row r="16" customFormat="false" ht="15" hidden="false" customHeight="false" outlineLevel="0" collapsed="false">
      <c r="A16" s="13" t="n">
        <v>12</v>
      </c>
      <c r="B16" s="4" t="s">
        <v>562</v>
      </c>
      <c r="C16" s="25" t="s">
        <v>362</v>
      </c>
      <c r="D16" s="4" t="s">
        <v>563</v>
      </c>
      <c r="E16" s="4" t="s">
        <v>564</v>
      </c>
      <c r="F16" s="13" t="s">
        <v>34</v>
      </c>
      <c r="G16" s="13" t="s">
        <v>325</v>
      </c>
      <c r="H16" s="13" t="s">
        <v>326</v>
      </c>
      <c r="I16" s="13" t="s">
        <v>179</v>
      </c>
      <c r="J16" s="4"/>
      <c r="K16" s="15" t="s">
        <v>744</v>
      </c>
    </row>
    <row r="17" customFormat="false" ht="15" hidden="false" customHeight="false" outlineLevel="0" collapsed="false">
      <c r="A17" s="13" t="n">
        <v>13</v>
      </c>
      <c r="B17" s="4" t="s">
        <v>562</v>
      </c>
      <c r="C17" s="15" t="s">
        <v>371</v>
      </c>
      <c r="D17" s="4" t="s">
        <v>563</v>
      </c>
      <c r="E17" s="4" t="s">
        <v>566</v>
      </c>
      <c r="F17" s="13" t="s">
        <v>34</v>
      </c>
      <c r="G17" s="13" t="s">
        <v>325</v>
      </c>
      <c r="H17" s="13" t="s">
        <v>326</v>
      </c>
      <c r="I17" s="13" t="s">
        <v>179</v>
      </c>
      <c r="J17" s="4"/>
      <c r="K17" s="15" t="s">
        <v>744</v>
      </c>
    </row>
    <row r="18" customFormat="false" ht="15" hidden="false" customHeight="false" outlineLevel="0" collapsed="false">
      <c r="A18" s="13" t="n">
        <v>14</v>
      </c>
      <c r="B18" s="4" t="s">
        <v>150</v>
      </c>
      <c r="C18" s="15" t="s">
        <v>371</v>
      </c>
      <c r="D18" s="4" t="s">
        <v>372</v>
      </c>
      <c r="E18" s="4" t="s">
        <v>373</v>
      </c>
      <c r="F18" s="13" t="s">
        <v>30</v>
      </c>
      <c r="G18" s="13" t="s">
        <v>326</v>
      </c>
      <c r="H18" s="13" t="s">
        <v>327</v>
      </c>
      <c r="I18" s="13" t="s">
        <v>179</v>
      </c>
      <c r="J18" s="4"/>
      <c r="K18" s="15" t="s">
        <v>744</v>
      </c>
    </row>
    <row r="19" customFormat="false" ht="15" hidden="false" customHeight="false" outlineLevel="0" collapsed="false">
      <c r="A19" s="13" t="n">
        <v>15</v>
      </c>
      <c r="B19" s="4" t="s">
        <v>150</v>
      </c>
      <c r="C19" s="24" t="s">
        <v>351</v>
      </c>
      <c r="D19" s="4" t="s">
        <v>374</v>
      </c>
      <c r="E19" s="4" t="s">
        <v>375</v>
      </c>
      <c r="F19" s="13" t="s">
        <v>30</v>
      </c>
      <c r="G19" s="13" t="s">
        <v>326</v>
      </c>
      <c r="H19" s="13" t="s">
        <v>327</v>
      </c>
      <c r="I19" s="13" t="s">
        <v>119</v>
      </c>
      <c r="J19" s="4"/>
      <c r="K19" s="15" t="s">
        <v>744</v>
      </c>
    </row>
    <row r="20" customFormat="false" ht="15" hidden="false" customHeight="false" outlineLevel="0" collapsed="false">
      <c r="A20" s="13" t="n">
        <v>16</v>
      </c>
      <c r="B20" s="4" t="s">
        <v>150</v>
      </c>
      <c r="C20" s="24" t="s">
        <v>351</v>
      </c>
      <c r="D20" s="4" t="s">
        <v>376</v>
      </c>
      <c r="E20" s="4" t="s">
        <v>377</v>
      </c>
      <c r="F20" s="13" t="s">
        <v>30</v>
      </c>
      <c r="G20" s="13" t="s">
        <v>326</v>
      </c>
      <c r="H20" s="13" t="s">
        <v>327</v>
      </c>
      <c r="I20" s="13" t="s">
        <v>119</v>
      </c>
      <c r="J20" s="4"/>
      <c r="K20" s="15" t="s">
        <v>744</v>
      </c>
    </row>
    <row r="21" customFormat="false" ht="15" hidden="false" customHeight="false" outlineLevel="0" collapsed="false">
      <c r="A21" s="13" t="n">
        <v>17</v>
      </c>
      <c r="B21" s="4" t="s">
        <v>150</v>
      </c>
      <c r="C21" s="24" t="s">
        <v>351</v>
      </c>
      <c r="D21" s="4" t="s">
        <v>378</v>
      </c>
      <c r="E21" s="4" t="s">
        <v>379</v>
      </c>
      <c r="F21" s="13" t="s">
        <v>30</v>
      </c>
      <c r="G21" s="13" t="s">
        <v>326</v>
      </c>
      <c r="H21" s="13" t="s">
        <v>327</v>
      </c>
      <c r="I21" s="13" t="s">
        <v>119</v>
      </c>
      <c r="J21" s="4"/>
      <c r="K21" s="15" t="s">
        <v>744</v>
      </c>
    </row>
    <row r="22" customFormat="false" ht="15" hidden="false" customHeight="false" outlineLevel="0" collapsed="false">
      <c r="A22" s="13" t="n">
        <v>18</v>
      </c>
      <c r="B22" s="4" t="s">
        <v>150</v>
      </c>
      <c r="C22" s="15" t="s">
        <v>371</v>
      </c>
      <c r="D22" s="4" t="s">
        <v>380</v>
      </c>
      <c r="E22" s="4" t="s">
        <v>381</v>
      </c>
      <c r="F22" s="13" t="s">
        <v>30</v>
      </c>
      <c r="G22" s="13" t="s">
        <v>326</v>
      </c>
      <c r="H22" s="13" t="s">
        <v>327</v>
      </c>
      <c r="I22" s="13" t="s">
        <v>179</v>
      </c>
      <c r="J22" s="4"/>
      <c r="K22" s="15" t="s">
        <v>744</v>
      </c>
    </row>
    <row r="23" customFormat="false" ht="15" hidden="false" customHeight="false" outlineLevel="0" collapsed="false">
      <c r="A23" s="13" t="n">
        <v>19</v>
      </c>
      <c r="B23" s="4" t="s">
        <v>410</v>
      </c>
      <c r="C23" s="25" t="s">
        <v>362</v>
      </c>
      <c r="D23" s="4" t="s">
        <v>411</v>
      </c>
      <c r="E23" s="4" t="s">
        <v>412</v>
      </c>
      <c r="F23" s="13" t="s">
        <v>30</v>
      </c>
      <c r="G23" s="13" t="s">
        <v>326</v>
      </c>
      <c r="H23" s="13" t="s">
        <v>327</v>
      </c>
      <c r="I23" s="13" t="s">
        <v>119</v>
      </c>
      <c r="J23" s="4"/>
      <c r="K23" s="15" t="s">
        <v>744</v>
      </c>
    </row>
    <row r="24" customFormat="false" ht="15" hidden="false" customHeight="false" outlineLevel="0" collapsed="false">
      <c r="A24" s="13" t="n">
        <v>20</v>
      </c>
      <c r="B24" s="4" t="s">
        <v>410</v>
      </c>
      <c r="C24" s="24" t="s">
        <v>351</v>
      </c>
      <c r="D24" s="4" t="s">
        <v>411</v>
      </c>
      <c r="E24" s="4" t="s">
        <v>414</v>
      </c>
      <c r="F24" s="13" t="s">
        <v>30</v>
      </c>
      <c r="G24" s="13" t="s">
        <v>326</v>
      </c>
      <c r="H24" s="13" t="s">
        <v>327</v>
      </c>
      <c r="I24" s="13" t="s">
        <v>119</v>
      </c>
      <c r="J24" s="4"/>
      <c r="K24" s="15" t="s">
        <v>744</v>
      </c>
    </row>
    <row r="25" customFormat="false" ht="15" hidden="false" customHeight="false" outlineLevel="0" collapsed="false">
      <c r="A25" s="13" t="n">
        <v>21</v>
      </c>
      <c r="B25" s="4" t="s">
        <v>410</v>
      </c>
      <c r="C25" s="15" t="s">
        <v>371</v>
      </c>
      <c r="D25" s="4" t="s">
        <v>415</v>
      </c>
      <c r="E25" s="4" t="s">
        <v>416</v>
      </c>
      <c r="F25" s="13" t="s">
        <v>30</v>
      </c>
      <c r="G25" s="13" t="s">
        <v>326</v>
      </c>
      <c r="H25" s="13" t="s">
        <v>327</v>
      </c>
      <c r="I25" s="13" t="s">
        <v>119</v>
      </c>
      <c r="J25" s="4"/>
      <c r="K25" s="15" t="s">
        <v>744</v>
      </c>
    </row>
    <row r="26" customFormat="false" ht="15" hidden="false" customHeight="false" outlineLevel="0" collapsed="false">
      <c r="A26" s="13" t="n">
        <v>22</v>
      </c>
      <c r="B26" s="4" t="s">
        <v>410</v>
      </c>
      <c r="C26" s="27" t="s">
        <v>417</v>
      </c>
      <c r="D26" s="4" t="s">
        <v>415</v>
      </c>
      <c r="E26" s="4" t="s">
        <v>418</v>
      </c>
      <c r="F26" s="13" t="s">
        <v>30</v>
      </c>
      <c r="G26" s="13" t="s">
        <v>326</v>
      </c>
      <c r="H26" s="13" t="s">
        <v>327</v>
      </c>
      <c r="I26" s="13" t="s">
        <v>179</v>
      </c>
      <c r="J26" s="4"/>
      <c r="K26" s="15" t="s">
        <v>744</v>
      </c>
    </row>
    <row r="27" customFormat="false" ht="15" hidden="false" customHeight="false" outlineLevel="0" collapsed="false">
      <c r="A27" s="13" t="n">
        <v>23</v>
      </c>
      <c r="B27" s="4" t="s">
        <v>382</v>
      </c>
      <c r="C27" s="25" t="s">
        <v>362</v>
      </c>
      <c r="D27" s="4" t="s">
        <v>383</v>
      </c>
      <c r="E27" s="4" t="s">
        <v>384</v>
      </c>
      <c r="F27" s="13" t="s">
        <v>30</v>
      </c>
      <c r="G27" s="13" t="s">
        <v>326</v>
      </c>
      <c r="H27" s="13" t="s">
        <v>327</v>
      </c>
      <c r="I27" s="13" t="s">
        <v>179</v>
      </c>
      <c r="J27" s="4"/>
      <c r="K27" s="15" t="s">
        <v>744</v>
      </c>
    </row>
    <row r="28" customFormat="false" ht="15" hidden="false" customHeight="false" outlineLevel="0" collapsed="false">
      <c r="A28" s="13" t="n">
        <v>24</v>
      </c>
      <c r="B28" s="4" t="s">
        <v>386</v>
      </c>
      <c r="C28" s="25" t="s">
        <v>362</v>
      </c>
      <c r="D28" s="4" t="s">
        <v>387</v>
      </c>
      <c r="E28" s="4" t="s">
        <v>388</v>
      </c>
      <c r="F28" s="13" t="s">
        <v>30</v>
      </c>
      <c r="G28" s="13" t="s">
        <v>326</v>
      </c>
      <c r="H28" s="13" t="s">
        <v>327</v>
      </c>
      <c r="I28" s="13" t="s">
        <v>179</v>
      </c>
      <c r="J28" s="4"/>
      <c r="K28" s="15" t="s">
        <v>744</v>
      </c>
    </row>
    <row r="29" customFormat="false" ht="15" hidden="false" customHeight="false" outlineLevel="0" collapsed="false">
      <c r="A29" s="13" t="n">
        <v>25</v>
      </c>
      <c r="B29" s="4" t="s">
        <v>386</v>
      </c>
      <c r="C29" s="15" t="s">
        <v>371</v>
      </c>
      <c r="D29" s="4" t="s">
        <v>387</v>
      </c>
      <c r="E29" s="4" t="s">
        <v>390</v>
      </c>
      <c r="F29" s="13" t="s">
        <v>30</v>
      </c>
      <c r="G29" s="13" t="s">
        <v>326</v>
      </c>
      <c r="H29" s="13" t="s">
        <v>327</v>
      </c>
      <c r="I29" s="13" t="s">
        <v>179</v>
      </c>
      <c r="J29" s="4"/>
      <c r="K29" s="15" t="s">
        <v>744</v>
      </c>
    </row>
    <row r="30" customFormat="false" ht="23.85" hidden="false" customHeight="false" outlineLevel="0" collapsed="false">
      <c r="A30" s="13" t="n">
        <v>26</v>
      </c>
      <c r="B30" s="4" t="s">
        <v>419</v>
      </c>
      <c r="C30" s="25" t="s">
        <v>362</v>
      </c>
      <c r="D30" s="4" t="s">
        <v>420</v>
      </c>
      <c r="E30" s="4" t="s">
        <v>421</v>
      </c>
      <c r="F30" s="13" t="s">
        <v>30</v>
      </c>
      <c r="G30" s="13" t="s">
        <v>326</v>
      </c>
      <c r="H30" s="13" t="s">
        <v>327</v>
      </c>
      <c r="I30" s="13" t="s">
        <v>119</v>
      </c>
      <c r="J30" s="4"/>
      <c r="K30" s="15" t="s">
        <v>744</v>
      </c>
    </row>
    <row r="31" customFormat="false" ht="15" hidden="false" customHeight="false" outlineLevel="0" collapsed="false">
      <c r="A31" s="13" t="n">
        <v>27</v>
      </c>
      <c r="B31" s="4" t="s">
        <v>419</v>
      </c>
      <c r="C31" s="24" t="s">
        <v>351</v>
      </c>
      <c r="D31" s="4" t="s">
        <v>420</v>
      </c>
      <c r="E31" s="4" t="s">
        <v>423</v>
      </c>
      <c r="F31" s="13" t="s">
        <v>30</v>
      </c>
      <c r="G31" s="13" t="s">
        <v>326</v>
      </c>
      <c r="H31" s="13" t="s">
        <v>327</v>
      </c>
      <c r="I31" s="13" t="s">
        <v>119</v>
      </c>
      <c r="J31" s="4"/>
      <c r="K31" s="15" t="s">
        <v>744</v>
      </c>
    </row>
    <row r="32" customFormat="false" ht="15" hidden="false" customHeight="false" outlineLevel="0" collapsed="false">
      <c r="A32" s="13" t="n">
        <v>28</v>
      </c>
      <c r="B32" s="4" t="s">
        <v>419</v>
      </c>
      <c r="C32" s="25" t="s">
        <v>362</v>
      </c>
      <c r="D32" s="4" t="s">
        <v>425</v>
      </c>
      <c r="E32" s="4" t="s">
        <v>426</v>
      </c>
      <c r="F32" s="13" t="s">
        <v>30</v>
      </c>
      <c r="G32" s="13" t="s">
        <v>326</v>
      </c>
      <c r="H32" s="13" t="s">
        <v>327</v>
      </c>
      <c r="I32" s="13" t="s">
        <v>119</v>
      </c>
      <c r="J32" s="4"/>
      <c r="K32" s="15" t="s">
        <v>744</v>
      </c>
    </row>
    <row r="33" customFormat="false" ht="15" hidden="false" customHeight="false" outlineLevel="0" collapsed="false">
      <c r="A33" s="13" t="n">
        <v>29</v>
      </c>
      <c r="B33" s="4" t="s">
        <v>419</v>
      </c>
      <c r="C33" s="15" t="s">
        <v>371</v>
      </c>
      <c r="D33" s="4" t="s">
        <v>425</v>
      </c>
      <c r="E33" s="4" t="s">
        <v>427</v>
      </c>
      <c r="F33" s="13" t="s">
        <v>30</v>
      </c>
      <c r="G33" s="13" t="s">
        <v>326</v>
      </c>
      <c r="H33" s="13" t="s">
        <v>327</v>
      </c>
      <c r="I33" s="13" t="s">
        <v>119</v>
      </c>
      <c r="J33" s="4"/>
      <c r="K33" s="15" t="s">
        <v>744</v>
      </c>
    </row>
    <row r="34" customFormat="false" ht="15" hidden="false" customHeight="false" outlineLevel="0" collapsed="false">
      <c r="A34" s="13" t="n">
        <v>30</v>
      </c>
      <c r="B34" s="4" t="s">
        <v>419</v>
      </c>
      <c r="C34" s="27" t="s">
        <v>417</v>
      </c>
      <c r="D34" s="4" t="s">
        <v>425</v>
      </c>
      <c r="E34" s="4" t="s">
        <v>428</v>
      </c>
      <c r="F34" s="13" t="s">
        <v>30</v>
      </c>
      <c r="G34" s="13" t="s">
        <v>326</v>
      </c>
      <c r="H34" s="13" t="s">
        <v>327</v>
      </c>
      <c r="I34" s="13" t="s">
        <v>119</v>
      </c>
      <c r="J34" s="4"/>
      <c r="K34" s="15" t="s">
        <v>744</v>
      </c>
    </row>
    <row r="35" customFormat="false" ht="15" hidden="false" customHeight="false" outlineLevel="0" collapsed="false">
      <c r="A35" s="13" t="n">
        <v>31</v>
      </c>
      <c r="B35" s="4" t="s">
        <v>391</v>
      </c>
      <c r="C35" s="25" t="s">
        <v>362</v>
      </c>
      <c r="D35" s="4" t="s">
        <v>392</v>
      </c>
      <c r="E35" s="4" t="s">
        <v>393</v>
      </c>
      <c r="F35" s="13" t="s">
        <v>30</v>
      </c>
      <c r="G35" s="13" t="s">
        <v>326</v>
      </c>
      <c r="H35" s="13" t="s">
        <v>327</v>
      </c>
      <c r="I35" s="13" t="s">
        <v>119</v>
      </c>
      <c r="J35" s="4"/>
      <c r="K35" s="15" t="s">
        <v>744</v>
      </c>
    </row>
    <row r="36" customFormat="false" ht="15" hidden="false" customHeight="false" outlineLevel="0" collapsed="false">
      <c r="A36" s="13" t="n">
        <v>32</v>
      </c>
      <c r="B36" s="4" t="s">
        <v>391</v>
      </c>
      <c r="C36" s="24" t="s">
        <v>351</v>
      </c>
      <c r="D36" s="4" t="s">
        <v>392</v>
      </c>
      <c r="E36" s="4" t="s">
        <v>395</v>
      </c>
      <c r="F36" s="13" t="s">
        <v>30</v>
      </c>
      <c r="G36" s="13" t="s">
        <v>326</v>
      </c>
      <c r="H36" s="13" t="s">
        <v>327</v>
      </c>
      <c r="I36" s="13" t="s">
        <v>119</v>
      </c>
      <c r="J36" s="4"/>
      <c r="K36" s="15" t="s">
        <v>744</v>
      </c>
    </row>
    <row r="37" customFormat="false" ht="15" hidden="false" customHeight="false" outlineLevel="0" collapsed="false">
      <c r="A37" s="13" t="n">
        <v>33</v>
      </c>
      <c r="B37" s="4" t="s">
        <v>391</v>
      </c>
      <c r="C37" s="25" t="s">
        <v>362</v>
      </c>
      <c r="D37" s="4" t="s">
        <v>396</v>
      </c>
      <c r="E37" s="4" t="s">
        <v>397</v>
      </c>
      <c r="F37" s="13" t="s">
        <v>30</v>
      </c>
      <c r="G37" s="13" t="s">
        <v>326</v>
      </c>
      <c r="H37" s="13" t="s">
        <v>327</v>
      </c>
      <c r="I37" s="13" t="s">
        <v>119</v>
      </c>
      <c r="J37" s="4"/>
      <c r="K37" s="15" t="s">
        <v>744</v>
      </c>
    </row>
    <row r="38" customFormat="false" ht="15" hidden="false" customHeight="false" outlineLevel="0" collapsed="false">
      <c r="A38" s="13" t="n">
        <v>34</v>
      </c>
      <c r="B38" s="4" t="s">
        <v>391</v>
      </c>
      <c r="C38" s="15" t="s">
        <v>371</v>
      </c>
      <c r="D38" s="4" t="s">
        <v>396</v>
      </c>
      <c r="E38" s="4" t="s">
        <v>398</v>
      </c>
      <c r="F38" s="13" t="s">
        <v>30</v>
      </c>
      <c r="G38" s="13" t="s">
        <v>326</v>
      </c>
      <c r="H38" s="13" t="s">
        <v>327</v>
      </c>
      <c r="I38" s="13" t="s">
        <v>119</v>
      </c>
      <c r="J38" s="4"/>
      <c r="K38" s="15" t="s">
        <v>744</v>
      </c>
    </row>
    <row r="39" customFormat="false" ht="15" hidden="false" customHeight="false" outlineLevel="0" collapsed="false">
      <c r="A39" s="13" t="n">
        <v>35</v>
      </c>
      <c r="B39" s="4" t="s">
        <v>391</v>
      </c>
      <c r="C39" s="26" t="s">
        <v>399</v>
      </c>
      <c r="D39" s="4" t="s">
        <v>400</v>
      </c>
      <c r="E39" s="4" t="s">
        <v>401</v>
      </c>
      <c r="F39" s="13" t="s">
        <v>30</v>
      </c>
      <c r="G39" s="13" t="s">
        <v>326</v>
      </c>
      <c r="H39" s="13" t="s">
        <v>327</v>
      </c>
      <c r="I39" s="13" t="s">
        <v>119</v>
      </c>
      <c r="J39" s="4"/>
      <c r="K39" s="15" t="s">
        <v>744</v>
      </c>
    </row>
    <row r="40" customFormat="false" ht="15" hidden="false" customHeight="false" outlineLevel="0" collapsed="false">
      <c r="A40" s="13" t="n">
        <v>36</v>
      </c>
      <c r="B40" s="4" t="s">
        <v>391</v>
      </c>
      <c r="C40" s="15" t="s">
        <v>371</v>
      </c>
      <c r="D40" s="4" t="s">
        <v>402</v>
      </c>
      <c r="E40" s="4" t="s">
        <v>403</v>
      </c>
      <c r="F40" s="13" t="s">
        <v>30</v>
      </c>
      <c r="G40" s="13" t="s">
        <v>326</v>
      </c>
      <c r="H40" s="13" t="s">
        <v>327</v>
      </c>
      <c r="I40" s="13" t="s">
        <v>119</v>
      </c>
      <c r="J40" s="4"/>
      <c r="K40" s="15" t="s">
        <v>744</v>
      </c>
    </row>
    <row r="41" customFormat="false" ht="15" hidden="false" customHeight="false" outlineLevel="0" collapsed="false">
      <c r="A41" s="13" t="n">
        <v>37</v>
      </c>
      <c r="B41" s="4" t="s">
        <v>391</v>
      </c>
      <c r="C41" s="24" t="s">
        <v>351</v>
      </c>
      <c r="D41" s="4" t="s">
        <v>405</v>
      </c>
      <c r="E41" s="4" t="s">
        <v>406</v>
      </c>
      <c r="F41" s="13" t="s">
        <v>30</v>
      </c>
      <c r="G41" s="13" t="s">
        <v>326</v>
      </c>
      <c r="H41" s="13" t="s">
        <v>327</v>
      </c>
      <c r="I41" s="13" t="s">
        <v>301</v>
      </c>
      <c r="J41" s="4"/>
      <c r="K41" s="15" t="s">
        <v>744</v>
      </c>
    </row>
    <row r="42" customFormat="false" ht="15" hidden="false" customHeight="false" outlineLevel="0" collapsed="false">
      <c r="A42" s="13" t="n">
        <v>38</v>
      </c>
      <c r="B42" s="4" t="s">
        <v>391</v>
      </c>
      <c r="C42" s="25" t="s">
        <v>362</v>
      </c>
      <c r="D42" s="4" t="s">
        <v>407</v>
      </c>
      <c r="E42" s="4" t="s">
        <v>408</v>
      </c>
      <c r="F42" s="13" t="s">
        <v>30</v>
      </c>
      <c r="G42" s="13" t="s">
        <v>326</v>
      </c>
      <c r="H42" s="13" t="s">
        <v>327</v>
      </c>
      <c r="I42" s="13" t="s">
        <v>301</v>
      </c>
      <c r="J42" s="4"/>
      <c r="K42" s="15" t="s">
        <v>744</v>
      </c>
    </row>
    <row r="43" customFormat="false" ht="15" hidden="false" customHeight="false" outlineLevel="0" collapsed="false">
      <c r="A43" s="13" t="n">
        <v>39</v>
      </c>
      <c r="B43" s="4" t="s">
        <v>433</v>
      </c>
      <c r="C43" s="25" t="s">
        <v>362</v>
      </c>
      <c r="D43" s="4" t="s">
        <v>434</v>
      </c>
      <c r="E43" s="4" t="s">
        <v>435</v>
      </c>
      <c r="F43" s="13" t="s">
        <v>30</v>
      </c>
      <c r="G43" s="13" t="s">
        <v>327</v>
      </c>
      <c r="H43" s="13" t="s">
        <v>328</v>
      </c>
      <c r="I43" s="13" t="s">
        <v>119</v>
      </c>
      <c r="J43" s="4"/>
      <c r="K43" s="15" t="s">
        <v>744</v>
      </c>
    </row>
    <row r="44" customFormat="false" ht="15" hidden="false" customHeight="false" outlineLevel="0" collapsed="false">
      <c r="A44" s="13" t="n">
        <v>40</v>
      </c>
      <c r="B44" s="4" t="s">
        <v>433</v>
      </c>
      <c r="C44" s="24" t="s">
        <v>351</v>
      </c>
      <c r="D44" s="4" t="s">
        <v>434</v>
      </c>
      <c r="E44" s="4" t="s">
        <v>437</v>
      </c>
      <c r="F44" s="13" t="s">
        <v>30</v>
      </c>
      <c r="G44" s="13" t="s">
        <v>327</v>
      </c>
      <c r="H44" s="13" t="s">
        <v>328</v>
      </c>
      <c r="I44" s="13" t="s">
        <v>119</v>
      </c>
      <c r="J44" s="4"/>
      <c r="K44" s="15" t="s">
        <v>744</v>
      </c>
    </row>
    <row r="45" customFormat="false" ht="15" hidden="false" customHeight="false" outlineLevel="0" collapsed="false">
      <c r="A45" s="13" t="n">
        <v>41</v>
      </c>
      <c r="B45" s="4" t="s">
        <v>433</v>
      </c>
      <c r="C45" s="25" t="s">
        <v>362</v>
      </c>
      <c r="D45" s="4" t="s">
        <v>438</v>
      </c>
      <c r="E45" s="4" t="s">
        <v>439</v>
      </c>
      <c r="F45" s="13" t="s">
        <v>30</v>
      </c>
      <c r="G45" s="13" t="s">
        <v>327</v>
      </c>
      <c r="H45" s="13" t="s">
        <v>328</v>
      </c>
      <c r="I45" s="13" t="s">
        <v>119</v>
      </c>
      <c r="J45" s="4"/>
      <c r="K45" s="15" t="s">
        <v>744</v>
      </c>
    </row>
    <row r="46" customFormat="false" ht="15" hidden="false" customHeight="false" outlineLevel="0" collapsed="false">
      <c r="A46" s="13" t="n">
        <v>42</v>
      </c>
      <c r="B46" s="4" t="s">
        <v>433</v>
      </c>
      <c r="C46" s="15" t="s">
        <v>371</v>
      </c>
      <c r="D46" s="4" t="s">
        <v>438</v>
      </c>
      <c r="E46" s="4" t="s">
        <v>440</v>
      </c>
      <c r="F46" s="13" t="s">
        <v>30</v>
      </c>
      <c r="G46" s="13" t="s">
        <v>327</v>
      </c>
      <c r="H46" s="13" t="s">
        <v>328</v>
      </c>
      <c r="I46" s="13" t="s">
        <v>119</v>
      </c>
      <c r="J46" s="4"/>
      <c r="K46" s="15" t="s">
        <v>744</v>
      </c>
    </row>
    <row r="47" customFormat="false" ht="15" hidden="false" customHeight="false" outlineLevel="0" collapsed="false">
      <c r="A47" s="13" t="n">
        <v>43</v>
      </c>
      <c r="B47" s="4" t="s">
        <v>433</v>
      </c>
      <c r="C47" s="27" t="s">
        <v>417</v>
      </c>
      <c r="D47" s="4" t="s">
        <v>438</v>
      </c>
      <c r="E47" s="4" t="s">
        <v>442</v>
      </c>
      <c r="F47" s="13" t="s">
        <v>30</v>
      </c>
      <c r="G47" s="13" t="s">
        <v>327</v>
      </c>
      <c r="H47" s="13" t="s">
        <v>328</v>
      </c>
      <c r="I47" s="13" t="s">
        <v>179</v>
      </c>
      <c r="J47" s="4"/>
      <c r="K47" s="15" t="s">
        <v>744</v>
      </c>
    </row>
    <row r="48" customFormat="false" ht="15" hidden="false" customHeight="false" outlineLevel="0" collapsed="false">
      <c r="A48" s="13" t="n">
        <v>44</v>
      </c>
      <c r="B48" s="4" t="s">
        <v>443</v>
      </c>
      <c r="C48" s="25" t="s">
        <v>362</v>
      </c>
      <c r="D48" s="4" t="s">
        <v>444</v>
      </c>
      <c r="E48" s="4" t="s">
        <v>445</v>
      </c>
      <c r="F48" s="13" t="s">
        <v>30</v>
      </c>
      <c r="G48" s="13" t="s">
        <v>327</v>
      </c>
      <c r="H48" s="13" t="s">
        <v>328</v>
      </c>
      <c r="I48" s="13" t="s">
        <v>119</v>
      </c>
      <c r="J48" s="4"/>
      <c r="K48" s="15" t="s">
        <v>744</v>
      </c>
    </row>
    <row r="49" customFormat="false" ht="15" hidden="false" customHeight="false" outlineLevel="0" collapsed="false">
      <c r="A49" s="13" t="n">
        <v>45</v>
      </c>
      <c r="B49" s="4" t="s">
        <v>443</v>
      </c>
      <c r="C49" s="24" t="s">
        <v>351</v>
      </c>
      <c r="D49" s="4" t="s">
        <v>444</v>
      </c>
      <c r="E49" s="4" t="s">
        <v>448</v>
      </c>
      <c r="F49" s="13" t="s">
        <v>30</v>
      </c>
      <c r="G49" s="13" t="s">
        <v>327</v>
      </c>
      <c r="H49" s="13" t="s">
        <v>328</v>
      </c>
      <c r="I49" s="13" t="s">
        <v>119</v>
      </c>
      <c r="J49" s="4"/>
      <c r="K49" s="15" t="s">
        <v>744</v>
      </c>
    </row>
    <row r="50" customFormat="false" ht="15" hidden="false" customHeight="false" outlineLevel="0" collapsed="false">
      <c r="A50" s="13" t="n">
        <v>46</v>
      </c>
      <c r="B50" s="4" t="s">
        <v>443</v>
      </c>
      <c r="C50" s="25" t="s">
        <v>362</v>
      </c>
      <c r="D50" s="4" t="s">
        <v>450</v>
      </c>
      <c r="E50" s="4" t="s">
        <v>451</v>
      </c>
      <c r="F50" s="13" t="s">
        <v>30</v>
      </c>
      <c r="G50" s="13" t="s">
        <v>327</v>
      </c>
      <c r="H50" s="13" t="s">
        <v>328</v>
      </c>
      <c r="I50" s="13" t="s">
        <v>119</v>
      </c>
      <c r="J50" s="4"/>
      <c r="K50" s="15" t="s">
        <v>744</v>
      </c>
    </row>
    <row r="51" customFormat="false" ht="15" hidden="false" customHeight="false" outlineLevel="0" collapsed="false">
      <c r="A51" s="13" t="n">
        <v>47</v>
      </c>
      <c r="B51" s="4" t="s">
        <v>443</v>
      </c>
      <c r="C51" s="15" t="s">
        <v>371</v>
      </c>
      <c r="D51" s="4" t="s">
        <v>450</v>
      </c>
      <c r="E51" s="4" t="s">
        <v>452</v>
      </c>
      <c r="F51" s="13" t="s">
        <v>30</v>
      </c>
      <c r="G51" s="13" t="s">
        <v>327</v>
      </c>
      <c r="H51" s="13" t="s">
        <v>328</v>
      </c>
      <c r="I51" s="13" t="s">
        <v>119</v>
      </c>
      <c r="J51" s="4"/>
      <c r="K51" s="15" t="s">
        <v>744</v>
      </c>
    </row>
    <row r="52" customFormat="false" ht="15" hidden="false" customHeight="false" outlineLevel="0" collapsed="false">
      <c r="A52" s="13" t="n">
        <v>48</v>
      </c>
      <c r="B52" s="4" t="s">
        <v>443</v>
      </c>
      <c r="C52" s="27" t="s">
        <v>417</v>
      </c>
      <c r="D52" s="4" t="s">
        <v>450</v>
      </c>
      <c r="E52" s="4" t="s">
        <v>453</v>
      </c>
      <c r="F52" s="13" t="s">
        <v>30</v>
      </c>
      <c r="G52" s="13" t="s">
        <v>327</v>
      </c>
      <c r="H52" s="13" t="s">
        <v>328</v>
      </c>
      <c r="I52" s="13" t="s">
        <v>179</v>
      </c>
      <c r="J52" s="4"/>
      <c r="K52" s="15" t="s">
        <v>744</v>
      </c>
    </row>
    <row r="53" customFormat="false" ht="15" hidden="false" customHeight="false" outlineLevel="0" collapsed="false">
      <c r="A53" s="13" t="n">
        <v>49</v>
      </c>
      <c r="B53" s="4" t="s">
        <v>596</v>
      </c>
      <c r="C53" s="25" t="s">
        <v>362</v>
      </c>
      <c r="D53" s="4" t="s">
        <v>597</v>
      </c>
      <c r="E53" s="4" t="s">
        <v>598</v>
      </c>
      <c r="F53" s="13" t="s">
        <v>34</v>
      </c>
      <c r="G53" s="13" t="s">
        <v>327</v>
      </c>
      <c r="H53" s="13" t="s">
        <v>328</v>
      </c>
      <c r="I53" s="13" t="s">
        <v>119</v>
      </c>
      <c r="J53" s="4"/>
      <c r="K53" s="15" t="s">
        <v>744</v>
      </c>
    </row>
    <row r="54" customFormat="false" ht="15" hidden="false" customHeight="false" outlineLevel="0" collapsed="false">
      <c r="A54" s="13" t="n">
        <v>50</v>
      </c>
      <c r="B54" s="4" t="s">
        <v>596</v>
      </c>
      <c r="C54" s="24" t="s">
        <v>351</v>
      </c>
      <c r="D54" s="4" t="s">
        <v>597</v>
      </c>
      <c r="E54" s="4" t="s">
        <v>600</v>
      </c>
      <c r="F54" s="13" t="s">
        <v>34</v>
      </c>
      <c r="G54" s="13" t="s">
        <v>327</v>
      </c>
      <c r="H54" s="13" t="s">
        <v>328</v>
      </c>
      <c r="I54" s="13" t="s">
        <v>119</v>
      </c>
      <c r="J54" s="4"/>
      <c r="K54" s="15" t="s">
        <v>744</v>
      </c>
    </row>
    <row r="55" customFormat="false" ht="15" hidden="false" customHeight="false" outlineLevel="0" collapsed="false">
      <c r="A55" s="13" t="n">
        <v>51</v>
      </c>
      <c r="B55" s="4" t="s">
        <v>596</v>
      </c>
      <c r="C55" s="25" t="s">
        <v>362</v>
      </c>
      <c r="D55" s="4" t="s">
        <v>603</v>
      </c>
      <c r="E55" s="4" t="s">
        <v>604</v>
      </c>
      <c r="F55" s="13" t="s">
        <v>34</v>
      </c>
      <c r="G55" s="13" t="s">
        <v>327</v>
      </c>
      <c r="H55" s="13" t="s">
        <v>328</v>
      </c>
      <c r="I55" s="13" t="s">
        <v>119</v>
      </c>
      <c r="J55" s="4"/>
      <c r="K55" s="15" t="s">
        <v>744</v>
      </c>
    </row>
    <row r="56" customFormat="false" ht="15" hidden="false" customHeight="false" outlineLevel="0" collapsed="false">
      <c r="A56" s="13" t="n">
        <v>52</v>
      </c>
      <c r="B56" s="4" t="s">
        <v>596</v>
      </c>
      <c r="C56" s="15" t="s">
        <v>371</v>
      </c>
      <c r="D56" s="4" t="s">
        <v>603</v>
      </c>
      <c r="E56" s="4" t="s">
        <v>605</v>
      </c>
      <c r="F56" s="13" t="s">
        <v>34</v>
      </c>
      <c r="G56" s="13" t="s">
        <v>327</v>
      </c>
      <c r="H56" s="13" t="s">
        <v>328</v>
      </c>
      <c r="I56" s="13" t="s">
        <v>119</v>
      </c>
      <c r="J56" s="4"/>
      <c r="K56" s="15" t="s">
        <v>744</v>
      </c>
    </row>
    <row r="57" customFormat="false" ht="15" hidden="false" customHeight="false" outlineLevel="0" collapsed="false">
      <c r="A57" s="13" t="n">
        <v>53</v>
      </c>
      <c r="B57" s="4" t="s">
        <v>596</v>
      </c>
      <c r="C57" s="24" t="s">
        <v>351</v>
      </c>
      <c r="D57" s="4" t="s">
        <v>606</v>
      </c>
      <c r="E57" s="4" t="s">
        <v>607</v>
      </c>
      <c r="F57" s="13" t="s">
        <v>34</v>
      </c>
      <c r="G57" s="13" t="s">
        <v>327</v>
      </c>
      <c r="H57" s="13" t="s">
        <v>328</v>
      </c>
      <c r="I57" s="13" t="s">
        <v>119</v>
      </c>
      <c r="J57" s="4"/>
      <c r="K57" s="15" t="s">
        <v>744</v>
      </c>
    </row>
    <row r="58" customFormat="false" ht="15" hidden="false" customHeight="false" outlineLevel="0" collapsed="false">
      <c r="A58" s="13" t="n">
        <v>54</v>
      </c>
      <c r="B58" s="4" t="s">
        <v>596</v>
      </c>
      <c r="C58" s="24" t="s">
        <v>351</v>
      </c>
      <c r="D58" s="4" t="s">
        <v>609</v>
      </c>
      <c r="E58" s="4" t="s">
        <v>610</v>
      </c>
      <c r="F58" s="13" t="s">
        <v>34</v>
      </c>
      <c r="G58" s="13" t="s">
        <v>327</v>
      </c>
      <c r="H58" s="13" t="s">
        <v>328</v>
      </c>
      <c r="I58" s="13" t="s">
        <v>179</v>
      </c>
      <c r="J58" s="4"/>
      <c r="K58" s="15" t="s">
        <v>744</v>
      </c>
    </row>
    <row r="59" customFormat="false" ht="15" hidden="false" customHeight="false" outlineLevel="0" collapsed="false">
      <c r="A59" s="13" t="n">
        <v>55</v>
      </c>
      <c r="B59" s="4" t="s">
        <v>596</v>
      </c>
      <c r="C59" s="25" t="s">
        <v>362</v>
      </c>
      <c r="D59" s="4" t="s">
        <v>611</v>
      </c>
      <c r="E59" s="4" t="s">
        <v>612</v>
      </c>
      <c r="F59" s="13" t="s">
        <v>34</v>
      </c>
      <c r="G59" s="13" t="s">
        <v>327</v>
      </c>
      <c r="H59" s="13" t="s">
        <v>328</v>
      </c>
      <c r="I59" s="13" t="s">
        <v>179</v>
      </c>
      <c r="J59" s="4"/>
      <c r="K59" s="15" t="s">
        <v>744</v>
      </c>
    </row>
    <row r="60" customFormat="false" ht="15" hidden="false" customHeight="false" outlineLevel="0" collapsed="false">
      <c r="A60" s="13" t="n">
        <v>56</v>
      </c>
      <c r="B60" s="4" t="s">
        <v>419</v>
      </c>
      <c r="C60" s="24" t="s">
        <v>351</v>
      </c>
      <c r="D60" s="4" t="s">
        <v>454</v>
      </c>
      <c r="E60" s="4" t="s">
        <v>455</v>
      </c>
      <c r="F60" s="13" t="s">
        <v>30</v>
      </c>
      <c r="G60" s="13" t="s">
        <v>327</v>
      </c>
      <c r="H60" s="13" t="s">
        <v>328</v>
      </c>
      <c r="I60" s="13" t="s">
        <v>179</v>
      </c>
      <c r="J60" s="4"/>
      <c r="K60" s="15" t="s">
        <v>744</v>
      </c>
    </row>
    <row r="61" customFormat="false" ht="15" hidden="false" customHeight="false" outlineLevel="0" collapsed="false">
      <c r="A61" s="13" t="n">
        <v>57</v>
      </c>
      <c r="B61" s="4" t="s">
        <v>419</v>
      </c>
      <c r="C61" s="25" t="s">
        <v>362</v>
      </c>
      <c r="D61" s="4" t="s">
        <v>456</v>
      </c>
      <c r="E61" s="4" t="s">
        <v>457</v>
      </c>
      <c r="F61" s="13" t="s">
        <v>30</v>
      </c>
      <c r="G61" s="13" t="s">
        <v>327</v>
      </c>
      <c r="H61" s="13" t="s">
        <v>328</v>
      </c>
      <c r="I61" s="13" t="s">
        <v>179</v>
      </c>
      <c r="J61" s="4"/>
      <c r="K61" s="15" t="s">
        <v>744</v>
      </c>
    </row>
    <row r="62" customFormat="false" ht="15" hidden="false" customHeight="false" outlineLevel="0" collapsed="false">
      <c r="A62" s="13" t="n">
        <v>58</v>
      </c>
      <c r="B62" s="4" t="s">
        <v>419</v>
      </c>
      <c r="C62" s="24" t="s">
        <v>351</v>
      </c>
      <c r="D62" s="4" t="s">
        <v>459</v>
      </c>
      <c r="E62" s="4" t="s">
        <v>460</v>
      </c>
      <c r="F62" s="13" t="s">
        <v>30</v>
      </c>
      <c r="G62" s="13" t="s">
        <v>327</v>
      </c>
      <c r="H62" s="13" t="s">
        <v>328</v>
      </c>
      <c r="I62" s="13" t="s">
        <v>301</v>
      </c>
      <c r="J62" s="4"/>
      <c r="K62" s="15" t="s">
        <v>744</v>
      </c>
    </row>
    <row r="63" customFormat="false" ht="15" hidden="false" customHeight="false" outlineLevel="0" collapsed="false">
      <c r="A63" s="13" t="n">
        <v>59</v>
      </c>
      <c r="B63" s="4" t="s">
        <v>462</v>
      </c>
      <c r="C63" s="25" t="s">
        <v>362</v>
      </c>
      <c r="D63" s="4" t="s">
        <v>463</v>
      </c>
      <c r="E63" s="4" t="s">
        <v>464</v>
      </c>
      <c r="F63" s="13" t="s">
        <v>30</v>
      </c>
      <c r="G63" s="13" t="s">
        <v>327</v>
      </c>
      <c r="H63" s="13" t="s">
        <v>328</v>
      </c>
      <c r="I63" s="13" t="s">
        <v>119</v>
      </c>
      <c r="J63" s="4"/>
      <c r="K63" s="15" t="s">
        <v>744</v>
      </c>
    </row>
    <row r="64" customFormat="false" ht="15" hidden="false" customHeight="false" outlineLevel="0" collapsed="false">
      <c r="A64" s="13" t="n">
        <v>60</v>
      </c>
      <c r="B64" s="4" t="s">
        <v>462</v>
      </c>
      <c r="C64" s="25" t="s">
        <v>362</v>
      </c>
      <c r="D64" s="4" t="s">
        <v>466</v>
      </c>
      <c r="E64" s="4" t="s">
        <v>467</v>
      </c>
      <c r="F64" s="13" t="s">
        <v>30</v>
      </c>
      <c r="G64" s="13" t="s">
        <v>327</v>
      </c>
      <c r="H64" s="13" t="s">
        <v>328</v>
      </c>
      <c r="I64" s="13" t="s">
        <v>119</v>
      </c>
      <c r="J64" s="4"/>
      <c r="K64" s="15" t="s">
        <v>744</v>
      </c>
    </row>
    <row r="65" customFormat="false" ht="15" hidden="false" customHeight="false" outlineLevel="0" collapsed="false">
      <c r="A65" s="13" t="n">
        <v>61</v>
      </c>
      <c r="B65" s="4" t="s">
        <v>462</v>
      </c>
      <c r="C65" s="26" t="s">
        <v>399</v>
      </c>
      <c r="D65" s="4" t="s">
        <v>469</v>
      </c>
      <c r="E65" s="4" t="s">
        <v>470</v>
      </c>
      <c r="F65" s="13" t="s">
        <v>30</v>
      </c>
      <c r="G65" s="13" t="s">
        <v>327</v>
      </c>
      <c r="H65" s="13" t="s">
        <v>328</v>
      </c>
      <c r="I65" s="13" t="s">
        <v>119</v>
      </c>
      <c r="J65" s="4"/>
      <c r="K65" s="15" t="s">
        <v>744</v>
      </c>
    </row>
    <row r="66" customFormat="false" ht="15" hidden="false" customHeight="false" outlineLevel="0" collapsed="false">
      <c r="A66" s="13" t="n">
        <v>62</v>
      </c>
      <c r="B66" s="4" t="s">
        <v>462</v>
      </c>
      <c r="C66" s="26" t="s">
        <v>399</v>
      </c>
      <c r="D66" s="4" t="s">
        <v>471</v>
      </c>
      <c r="E66" s="4" t="s">
        <v>472</v>
      </c>
      <c r="F66" s="13" t="s">
        <v>30</v>
      </c>
      <c r="G66" s="13" t="s">
        <v>327</v>
      </c>
      <c r="H66" s="13" t="s">
        <v>328</v>
      </c>
      <c r="I66" s="13" t="s">
        <v>179</v>
      </c>
      <c r="J66" s="4"/>
      <c r="K66" s="15" t="s">
        <v>744</v>
      </c>
    </row>
    <row r="67" customFormat="false" ht="15" hidden="false" customHeight="false" outlineLevel="0" collapsed="false">
      <c r="A67" s="13" t="n">
        <v>63</v>
      </c>
      <c r="B67" s="4" t="s">
        <v>462</v>
      </c>
      <c r="C67" s="28" t="s">
        <v>473</v>
      </c>
      <c r="D67" s="4" t="s">
        <v>474</v>
      </c>
      <c r="E67" s="4" t="s">
        <v>475</v>
      </c>
      <c r="F67" s="13" t="s">
        <v>30</v>
      </c>
      <c r="G67" s="13" t="s">
        <v>327</v>
      </c>
      <c r="H67" s="13" t="s">
        <v>328</v>
      </c>
      <c r="I67" s="13" t="s">
        <v>119</v>
      </c>
      <c r="J67" s="4"/>
      <c r="K67" s="15" t="s">
        <v>744</v>
      </c>
    </row>
    <row r="68" customFormat="false" ht="23.85" hidden="false" customHeight="false" outlineLevel="0" collapsed="false">
      <c r="A68" s="13" t="n">
        <v>64</v>
      </c>
      <c r="B68" s="4" t="s">
        <v>582</v>
      </c>
      <c r="C68" s="25" t="s">
        <v>362</v>
      </c>
      <c r="D68" s="4" t="s">
        <v>583</v>
      </c>
      <c r="E68" s="4" t="s">
        <v>584</v>
      </c>
      <c r="F68" s="13" t="s">
        <v>34</v>
      </c>
      <c r="G68" s="13" t="s">
        <v>327</v>
      </c>
      <c r="H68" s="13" t="s">
        <v>328</v>
      </c>
      <c r="I68" s="13" t="s">
        <v>119</v>
      </c>
      <c r="J68" s="4"/>
      <c r="K68" s="15" t="s">
        <v>744</v>
      </c>
    </row>
    <row r="69" customFormat="false" ht="15" hidden="false" customHeight="false" outlineLevel="0" collapsed="false">
      <c r="A69" s="13" t="n">
        <v>65</v>
      </c>
      <c r="B69" s="4" t="s">
        <v>582</v>
      </c>
      <c r="C69" s="25" t="s">
        <v>362</v>
      </c>
      <c r="D69" s="4" t="s">
        <v>585</v>
      </c>
      <c r="E69" s="4" t="s">
        <v>586</v>
      </c>
      <c r="F69" s="13" t="s">
        <v>34</v>
      </c>
      <c r="G69" s="13" t="s">
        <v>327</v>
      </c>
      <c r="H69" s="13" t="s">
        <v>328</v>
      </c>
      <c r="I69" s="13" t="s">
        <v>119</v>
      </c>
      <c r="J69" s="4"/>
      <c r="K69" s="15" t="s">
        <v>744</v>
      </c>
    </row>
    <row r="70" customFormat="false" ht="15" hidden="false" customHeight="false" outlineLevel="0" collapsed="false">
      <c r="A70" s="13" t="n">
        <v>66</v>
      </c>
      <c r="B70" s="4" t="s">
        <v>582</v>
      </c>
      <c r="C70" s="25" t="s">
        <v>362</v>
      </c>
      <c r="D70" s="4" t="s">
        <v>588</v>
      </c>
      <c r="E70" s="4" t="s">
        <v>589</v>
      </c>
      <c r="F70" s="13" t="s">
        <v>34</v>
      </c>
      <c r="G70" s="13" t="s">
        <v>327</v>
      </c>
      <c r="H70" s="13" t="s">
        <v>328</v>
      </c>
      <c r="I70" s="13" t="s">
        <v>119</v>
      </c>
      <c r="J70" s="4"/>
      <c r="K70" s="15" t="s">
        <v>744</v>
      </c>
    </row>
    <row r="71" customFormat="false" ht="15" hidden="false" customHeight="false" outlineLevel="0" collapsed="false">
      <c r="A71" s="13" t="n">
        <v>67</v>
      </c>
      <c r="B71" s="4" t="s">
        <v>582</v>
      </c>
      <c r="C71" s="25" t="s">
        <v>362</v>
      </c>
      <c r="D71" s="4" t="s">
        <v>590</v>
      </c>
      <c r="E71" s="4" t="s">
        <v>591</v>
      </c>
      <c r="F71" s="13" t="s">
        <v>34</v>
      </c>
      <c r="G71" s="13" t="s">
        <v>327</v>
      </c>
      <c r="H71" s="13" t="s">
        <v>328</v>
      </c>
      <c r="I71" s="13" t="s">
        <v>119</v>
      </c>
      <c r="J71" s="4"/>
      <c r="K71" s="15" t="s">
        <v>744</v>
      </c>
    </row>
    <row r="72" customFormat="false" ht="15" hidden="false" customHeight="false" outlineLevel="0" collapsed="false">
      <c r="A72" s="13" t="n">
        <v>68</v>
      </c>
      <c r="B72" s="4" t="s">
        <v>582</v>
      </c>
      <c r="C72" s="25" t="s">
        <v>362</v>
      </c>
      <c r="D72" s="4" t="s">
        <v>592</v>
      </c>
      <c r="E72" s="4" t="s">
        <v>593</v>
      </c>
      <c r="F72" s="13" t="s">
        <v>34</v>
      </c>
      <c r="G72" s="13" t="s">
        <v>327</v>
      </c>
      <c r="H72" s="13" t="s">
        <v>328</v>
      </c>
      <c r="I72" s="13" t="s">
        <v>119</v>
      </c>
      <c r="J72" s="4"/>
      <c r="K72" s="15" t="s">
        <v>744</v>
      </c>
    </row>
    <row r="73" customFormat="false" ht="15" hidden="false" customHeight="false" outlineLevel="0" collapsed="false">
      <c r="A73" s="13" t="n">
        <v>69</v>
      </c>
      <c r="B73" s="4" t="s">
        <v>582</v>
      </c>
      <c r="C73" s="25" t="s">
        <v>362</v>
      </c>
      <c r="D73" s="4" t="s">
        <v>594</v>
      </c>
      <c r="E73" s="4" t="s">
        <v>595</v>
      </c>
      <c r="F73" s="13" t="s">
        <v>34</v>
      </c>
      <c r="G73" s="13" t="s">
        <v>327</v>
      </c>
      <c r="H73" s="13" t="s">
        <v>328</v>
      </c>
      <c r="I73" s="13" t="s">
        <v>119</v>
      </c>
      <c r="J73" s="4"/>
      <c r="K73" s="15" t="s">
        <v>744</v>
      </c>
    </row>
    <row r="74" customFormat="false" ht="23.85" hidden="false" customHeight="false" outlineLevel="0" collapsed="false">
      <c r="A74" s="13" t="n">
        <v>70</v>
      </c>
      <c r="B74" s="4" t="s">
        <v>479</v>
      </c>
      <c r="C74" s="25" t="s">
        <v>362</v>
      </c>
      <c r="D74" s="4" t="s">
        <v>480</v>
      </c>
      <c r="E74" s="4" t="s">
        <v>481</v>
      </c>
      <c r="F74" s="13" t="s">
        <v>30</v>
      </c>
      <c r="G74" s="13" t="s">
        <v>328</v>
      </c>
      <c r="H74" s="13" t="s">
        <v>329</v>
      </c>
      <c r="I74" s="13" t="s">
        <v>119</v>
      </c>
      <c r="J74" s="4"/>
      <c r="K74" s="15" t="s">
        <v>744</v>
      </c>
    </row>
    <row r="75" customFormat="false" ht="15" hidden="false" customHeight="false" outlineLevel="0" collapsed="false">
      <c r="A75" s="13" t="n">
        <v>71</v>
      </c>
      <c r="B75" s="4" t="s">
        <v>483</v>
      </c>
      <c r="C75" s="25" t="s">
        <v>362</v>
      </c>
      <c r="D75" s="4" t="s">
        <v>484</v>
      </c>
      <c r="E75" s="4" t="s">
        <v>485</v>
      </c>
      <c r="F75" s="13" t="s">
        <v>30</v>
      </c>
      <c r="G75" s="13" t="s">
        <v>328</v>
      </c>
      <c r="H75" s="13" t="s">
        <v>329</v>
      </c>
      <c r="I75" s="13" t="s">
        <v>119</v>
      </c>
      <c r="J75" s="4"/>
      <c r="K75" s="15" t="s">
        <v>744</v>
      </c>
    </row>
    <row r="76" customFormat="false" ht="15" hidden="false" customHeight="false" outlineLevel="0" collapsed="false">
      <c r="A76" s="13" t="n">
        <v>72</v>
      </c>
      <c r="B76" s="4" t="s">
        <v>483</v>
      </c>
      <c r="C76" s="25" t="s">
        <v>362</v>
      </c>
      <c r="D76" s="4" t="s">
        <v>488</v>
      </c>
      <c r="E76" s="4" t="s">
        <v>489</v>
      </c>
      <c r="F76" s="13" t="s">
        <v>30</v>
      </c>
      <c r="G76" s="13" t="s">
        <v>328</v>
      </c>
      <c r="H76" s="13" t="s">
        <v>329</v>
      </c>
      <c r="I76" s="13" t="s">
        <v>119</v>
      </c>
      <c r="J76" s="4"/>
      <c r="K76" s="15" t="s">
        <v>744</v>
      </c>
    </row>
    <row r="77" customFormat="false" ht="15" hidden="false" customHeight="false" outlineLevel="0" collapsed="false">
      <c r="A77" s="13" t="n">
        <v>73</v>
      </c>
      <c r="B77" s="4" t="s">
        <v>483</v>
      </c>
      <c r="C77" s="25" t="s">
        <v>362</v>
      </c>
      <c r="D77" s="4" t="s">
        <v>490</v>
      </c>
      <c r="E77" s="4" t="s">
        <v>491</v>
      </c>
      <c r="F77" s="13" t="s">
        <v>30</v>
      </c>
      <c r="G77" s="13" t="s">
        <v>328</v>
      </c>
      <c r="H77" s="13" t="s">
        <v>329</v>
      </c>
      <c r="I77" s="13" t="s">
        <v>179</v>
      </c>
      <c r="J77" s="4"/>
      <c r="K77" s="15" t="s">
        <v>744</v>
      </c>
    </row>
    <row r="78" customFormat="false" ht="15" hidden="false" customHeight="false" outlineLevel="0" collapsed="false">
      <c r="A78" s="13" t="n">
        <v>74</v>
      </c>
      <c r="B78" s="4" t="s">
        <v>613</v>
      </c>
      <c r="C78" s="25" t="s">
        <v>362</v>
      </c>
      <c r="D78" s="4" t="s">
        <v>614</v>
      </c>
      <c r="E78" s="4" t="s">
        <v>615</v>
      </c>
      <c r="F78" s="13" t="s">
        <v>34</v>
      </c>
      <c r="G78" s="13" t="s">
        <v>328</v>
      </c>
      <c r="H78" s="13" t="s">
        <v>329</v>
      </c>
      <c r="I78" s="13" t="s">
        <v>119</v>
      </c>
      <c r="J78" s="4"/>
      <c r="K78" s="15" t="s">
        <v>744</v>
      </c>
    </row>
    <row r="79" customFormat="false" ht="15" hidden="false" customHeight="false" outlineLevel="0" collapsed="false">
      <c r="A79" s="13" t="n">
        <v>75</v>
      </c>
      <c r="B79" s="4" t="s">
        <v>613</v>
      </c>
      <c r="C79" s="24" t="s">
        <v>351</v>
      </c>
      <c r="D79" s="4" t="s">
        <v>614</v>
      </c>
      <c r="E79" s="4" t="s">
        <v>617</v>
      </c>
      <c r="F79" s="13" t="s">
        <v>34</v>
      </c>
      <c r="G79" s="13" t="s">
        <v>328</v>
      </c>
      <c r="H79" s="13" t="s">
        <v>329</v>
      </c>
      <c r="I79" s="13" t="s">
        <v>119</v>
      </c>
      <c r="J79" s="4"/>
      <c r="K79" s="15" t="s">
        <v>744</v>
      </c>
    </row>
    <row r="80" customFormat="false" ht="15" hidden="false" customHeight="false" outlineLevel="0" collapsed="false">
      <c r="A80" s="13" t="n">
        <v>76</v>
      </c>
      <c r="B80" s="4" t="s">
        <v>613</v>
      </c>
      <c r="C80" s="26" t="s">
        <v>399</v>
      </c>
      <c r="D80" s="4" t="s">
        <v>619</v>
      </c>
      <c r="E80" s="4" t="s">
        <v>620</v>
      </c>
      <c r="F80" s="13" t="s">
        <v>34</v>
      </c>
      <c r="G80" s="13" t="s">
        <v>328</v>
      </c>
      <c r="H80" s="13" t="s">
        <v>329</v>
      </c>
      <c r="I80" s="13" t="s">
        <v>179</v>
      </c>
      <c r="J80" s="4"/>
      <c r="K80" s="15" t="s">
        <v>744</v>
      </c>
    </row>
    <row r="81" customFormat="false" ht="15" hidden="false" customHeight="false" outlineLevel="0" collapsed="false">
      <c r="A81" s="13" t="n">
        <v>77</v>
      </c>
      <c r="B81" s="4" t="s">
        <v>613</v>
      </c>
      <c r="C81" s="27" t="s">
        <v>417</v>
      </c>
      <c r="D81" s="4" t="s">
        <v>622</v>
      </c>
      <c r="E81" s="4" t="s">
        <v>623</v>
      </c>
      <c r="F81" s="13" t="s">
        <v>34</v>
      </c>
      <c r="G81" s="13" t="s">
        <v>328</v>
      </c>
      <c r="H81" s="13" t="s">
        <v>329</v>
      </c>
      <c r="I81" s="13" t="s">
        <v>119</v>
      </c>
      <c r="J81" s="4"/>
      <c r="K81" s="15" t="s">
        <v>744</v>
      </c>
    </row>
    <row r="82" customFormat="false" ht="15" hidden="false" customHeight="false" outlineLevel="0" collapsed="false">
      <c r="A82" s="13" t="n">
        <v>78</v>
      </c>
      <c r="B82" s="4" t="s">
        <v>627</v>
      </c>
      <c r="C82" s="25" t="s">
        <v>362</v>
      </c>
      <c r="D82" s="4" t="s">
        <v>628</v>
      </c>
      <c r="E82" s="4" t="s">
        <v>629</v>
      </c>
      <c r="F82" s="13" t="s">
        <v>34</v>
      </c>
      <c r="G82" s="13" t="s">
        <v>328</v>
      </c>
      <c r="H82" s="13" t="s">
        <v>329</v>
      </c>
      <c r="I82" s="13" t="s">
        <v>119</v>
      </c>
      <c r="J82" s="4"/>
      <c r="K82" s="15" t="s">
        <v>744</v>
      </c>
    </row>
    <row r="83" customFormat="false" ht="15" hidden="false" customHeight="false" outlineLevel="0" collapsed="false">
      <c r="A83" s="13" t="n">
        <v>79</v>
      </c>
      <c r="B83" s="4" t="s">
        <v>627</v>
      </c>
      <c r="C83" s="24" t="s">
        <v>351</v>
      </c>
      <c r="D83" s="4" t="s">
        <v>631</v>
      </c>
      <c r="E83" s="4" t="s">
        <v>632</v>
      </c>
      <c r="F83" s="13" t="s">
        <v>34</v>
      </c>
      <c r="G83" s="13" t="s">
        <v>328</v>
      </c>
      <c r="H83" s="13" t="s">
        <v>329</v>
      </c>
      <c r="I83" s="13" t="s">
        <v>119</v>
      </c>
      <c r="J83" s="4"/>
      <c r="K83" s="15" t="s">
        <v>744</v>
      </c>
    </row>
    <row r="84" customFormat="false" ht="15" hidden="false" customHeight="false" outlineLevel="0" collapsed="false">
      <c r="A84" s="13" t="n">
        <v>80</v>
      </c>
      <c r="B84" s="4" t="s">
        <v>627</v>
      </c>
      <c r="C84" s="24" t="s">
        <v>351</v>
      </c>
      <c r="D84" s="4" t="s">
        <v>628</v>
      </c>
      <c r="E84" s="4" t="s">
        <v>634</v>
      </c>
      <c r="F84" s="13" t="s">
        <v>34</v>
      </c>
      <c r="G84" s="13" t="s">
        <v>328</v>
      </c>
      <c r="H84" s="13" t="s">
        <v>329</v>
      </c>
      <c r="I84" s="13" t="s">
        <v>119</v>
      </c>
      <c r="J84" s="4"/>
      <c r="K84" s="15" t="s">
        <v>744</v>
      </c>
    </row>
    <row r="85" customFormat="false" ht="15" hidden="false" customHeight="false" outlineLevel="0" collapsed="false">
      <c r="A85" s="13" t="n">
        <v>81</v>
      </c>
      <c r="B85" s="4" t="s">
        <v>627</v>
      </c>
      <c r="C85" s="25" t="s">
        <v>362</v>
      </c>
      <c r="D85" s="4" t="s">
        <v>637</v>
      </c>
      <c r="E85" s="4" t="s">
        <v>638</v>
      </c>
      <c r="F85" s="13" t="s">
        <v>34</v>
      </c>
      <c r="G85" s="13" t="s">
        <v>328</v>
      </c>
      <c r="H85" s="13" t="s">
        <v>329</v>
      </c>
      <c r="I85" s="13" t="s">
        <v>119</v>
      </c>
      <c r="J85" s="4"/>
      <c r="K85" s="15" t="s">
        <v>744</v>
      </c>
    </row>
    <row r="86" customFormat="false" ht="15" hidden="false" customHeight="false" outlineLevel="0" collapsed="false">
      <c r="A86" s="13" t="n">
        <v>82</v>
      </c>
      <c r="B86" s="4" t="s">
        <v>627</v>
      </c>
      <c r="C86" s="15" t="s">
        <v>371</v>
      </c>
      <c r="D86" s="4" t="s">
        <v>637</v>
      </c>
      <c r="E86" s="4" t="s">
        <v>639</v>
      </c>
      <c r="F86" s="13" t="s">
        <v>34</v>
      </c>
      <c r="G86" s="13" t="s">
        <v>328</v>
      </c>
      <c r="H86" s="13" t="s">
        <v>329</v>
      </c>
      <c r="I86" s="13" t="s">
        <v>119</v>
      </c>
      <c r="J86" s="4"/>
      <c r="K86" s="15" t="s">
        <v>744</v>
      </c>
    </row>
    <row r="87" customFormat="false" ht="15" hidden="false" customHeight="false" outlineLevel="0" collapsed="false">
      <c r="A87" s="13" t="n">
        <v>83</v>
      </c>
      <c r="B87" s="4" t="s">
        <v>627</v>
      </c>
      <c r="C87" s="24" t="s">
        <v>351</v>
      </c>
      <c r="D87" s="4" t="s">
        <v>640</v>
      </c>
      <c r="E87" s="4" t="s">
        <v>641</v>
      </c>
      <c r="F87" s="13" t="s">
        <v>34</v>
      </c>
      <c r="G87" s="13" t="s">
        <v>328</v>
      </c>
      <c r="H87" s="13" t="s">
        <v>329</v>
      </c>
      <c r="I87" s="13" t="s">
        <v>119</v>
      </c>
      <c r="J87" s="4"/>
      <c r="K87" s="15" t="s">
        <v>744</v>
      </c>
    </row>
    <row r="88" customFormat="false" ht="15" hidden="false" customHeight="false" outlineLevel="0" collapsed="false">
      <c r="A88" s="13" t="n">
        <v>84</v>
      </c>
      <c r="B88" s="4" t="s">
        <v>627</v>
      </c>
      <c r="C88" s="24" t="s">
        <v>351</v>
      </c>
      <c r="D88" s="4" t="s">
        <v>642</v>
      </c>
      <c r="E88" s="4" t="s">
        <v>643</v>
      </c>
      <c r="F88" s="13" t="s">
        <v>34</v>
      </c>
      <c r="G88" s="13" t="s">
        <v>328</v>
      </c>
      <c r="H88" s="13" t="s">
        <v>329</v>
      </c>
      <c r="I88" s="13" t="s">
        <v>119</v>
      </c>
      <c r="J88" s="4"/>
      <c r="K88" s="15" t="s">
        <v>744</v>
      </c>
    </row>
    <row r="89" customFormat="false" ht="15" hidden="false" customHeight="false" outlineLevel="0" collapsed="false">
      <c r="A89" s="13" t="n">
        <v>85</v>
      </c>
      <c r="B89" s="4" t="s">
        <v>627</v>
      </c>
      <c r="C89" s="24" t="s">
        <v>351</v>
      </c>
      <c r="D89" s="4" t="s">
        <v>644</v>
      </c>
      <c r="E89" s="4" t="s">
        <v>645</v>
      </c>
      <c r="F89" s="13" t="s">
        <v>34</v>
      </c>
      <c r="G89" s="13" t="s">
        <v>328</v>
      </c>
      <c r="H89" s="13" t="s">
        <v>329</v>
      </c>
      <c r="I89" s="13" t="s">
        <v>119</v>
      </c>
      <c r="J89" s="4"/>
      <c r="K89" s="15" t="s">
        <v>744</v>
      </c>
    </row>
    <row r="90" customFormat="false" ht="15" hidden="false" customHeight="false" outlineLevel="0" collapsed="false">
      <c r="A90" s="13" t="n">
        <v>86</v>
      </c>
      <c r="B90" s="4" t="s">
        <v>627</v>
      </c>
      <c r="C90" s="24" t="s">
        <v>351</v>
      </c>
      <c r="D90" s="4" t="s">
        <v>648</v>
      </c>
      <c r="E90" s="4" t="s">
        <v>649</v>
      </c>
      <c r="F90" s="13" t="s">
        <v>34</v>
      </c>
      <c r="G90" s="13" t="s">
        <v>328</v>
      </c>
      <c r="H90" s="13" t="s">
        <v>329</v>
      </c>
      <c r="I90" s="13" t="s">
        <v>119</v>
      </c>
      <c r="J90" s="4"/>
      <c r="K90" s="15" t="s">
        <v>744</v>
      </c>
    </row>
    <row r="91" customFormat="false" ht="15" hidden="false" customHeight="false" outlineLevel="0" collapsed="false">
      <c r="A91" s="13" t="n">
        <v>87</v>
      </c>
      <c r="B91" s="4" t="s">
        <v>627</v>
      </c>
      <c r="C91" s="25" t="s">
        <v>362</v>
      </c>
      <c r="D91" s="4" t="s">
        <v>650</v>
      </c>
      <c r="E91" s="4" t="s">
        <v>651</v>
      </c>
      <c r="F91" s="13" t="s">
        <v>34</v>
      </c>
      <c r="G91" s="13" t="s">
        <v>328</v>
      </c>
      <c r="H91" s="13" t="s">
        <v>329</v>
      </c>
      <c r="I91" s="13" t="s">
        <v>179</v>
      </c>
      <c r="J91" s="4"/>
      <c r="K91" s="15" t="s">
        <v>744</v>
      </c>
    </row>
    <row r="92" customFormat="false" ht="15" hidden="false" customHeight="false" outlineLevel="0" collapsed="false">
      <c r="A92" s="13" t="n">
        <v>88</v>
      </c>
      <c r="B92" s="4" t="s">
        <v>492</v>
      </c>
      <c r="C92" s="24" t="s">
        <v>351</v>
      </c>
      <c r="D92" s="4" t="s">
        <v>493</v>
      </c>
      <c r="E92" s="4" t="s">
        <v>494</v>
      </c>
      <c r="F92" s="13" t="s">
        <v>30</v>
      </c>
      <c r="G92" s="13" t="s">
        <v>328</v>
      </c>
      <c r="H92" s="13" t="s">
        <v>329</v>
      </c>
      <c r="I92" s="13" t="s">
        <v>119</v>
      </c>
      <c r="J92" s="4"/>
      <c r="K92" s="15" t="s">
        <v>744</v>
      </c>
    </row>
    <row r="93" customFormat="false" ht="15" hidden="false" customHeight="false" outlineLevel="0" collapsed="false">
      <c r="A93" s="13" t="n">
        <v>89</v>
      </c>
      <c r="B93" s="4" t="s">
        <v>492</v>
      </c>
      <c r="C93" s="25" t="s">
        <v>362</v>
      </c>
      <c r="D93" s="4" t="s">
        <v>493</v>
      </c>
      <c r="E93" s="4" t="s">
        <v>496</v>
      </c>
      <c r="F93" s="13" t="s">
        <v>30</v>
      </c>
      <c r="G93" s="13" t="s">
        <v>328</v>
      </c>
      <c r="H93" s="13" t="s">
        <v>329</v>
      </c>
      <c r="I93" s="13" t="s">
        <v>119</v>
      </c>
      <c r="J93" s="4"/>
      <c r="K93" s="15" t="s">
        <v>744</v>
      </c>
    </row>
    <row r="94" customFormat="false" ht="15" hidden="false" customHeight="false" outlineLevel="0" collapsed="false">
      <c r="A94" s="13" t="n">
        <v>90</v>
      </c>
      <c r="B94" s="4" t="s">
        <v>462</v>
      </c>
      <c r="C94" s="26" t="s">
        <v>399</v>
      </c>
      <c r="D94" s="4" t="s">
        <v>497</v>
      </c>
      <c r="E94" s="4" t="s">
        <v>498</v>
      </c>
      <c r="F94" s="13" t="s">
        <v>30</v>
      </c>
      <c r="G94" s="13" t="s">
        <v>328</v>
      </c>
      <c r="H94" s="13" t="s">
        <v>329</v>
      </c>
      <c r="I94" s="13" t="s">
        <v>179</v>
      </c>
      <c r="J94" s="4"/>
      <c r="K94" s="15" t="s">
        <v>744</v>
      </c>
    </row>
    <row r="95" customFormat="false" ht="15" hidden="false" customHeight="false" outlineLevel="0" collapsed="false">
      <c r="A95" s="13" t="n">
        <v>91</v>
      </c>
      <c r="B95" s="4" t="s">
        <v>582</v>
      </c>
      <c r="C95" s="24" t="s">
        <v>351</v>
      </c>
      <c r="D95" s="4" t="s">
        <v>624</v>
      </c>
      <c r="E95" s="4" t="s">
        <v>625</v>
      </c>
      <c r="F95" s="13" t="s">
        <v>34</v>
      </c>
      <c r="G95" s="13" t="s">
        <v>328</v>
      </c>
      <c r="H95" s="13" t="s">
        <v>329</v>
      </c>
      <c r="I95" s="13" t="s">
        <v>179</v>
      </c>
      <c r="J95" s="4"/>
      <c r="K95" s="15" t="s">
        <v>744</v>
      </c>
    </row>
    <row r="96" customFormat="false" ht="23.85" hidden="false" customHeight="false" outlineLevel="0" collapsed="false">
      <c r="A96" s="13" t="n">
        <v>92</v>
      </c>
      <c r="B96" s="4" t="s">
        <v>655</v>
      </c>
      <c r="C96" s="25" t="s">
        <v>362</v>
      </c>
      <c r="D96" s="4" t="s">
        <v>656</v>
      </c>
      <c r="E96" s="4" t="s">
        <v>657</v>
      </c>
      <c r="F96" s="13" t="s">
        <v>34</v>
      </c>
      <c r="G96" s="13" t="s">
        <v>329</v>
      </c>
      <c r="H96" s="13" t="s">
        <v>330</v>
      </c>
      <c r="I96" s="13" t="s">
        <v>119</v>
      </c>
      <c r="J96" s="4"/>
      <c r="K96" s="15" t="s">
        <v>744</v>
      </c>
    </row>
    <row r="97" customFormat="false" ht="15" hidden="false" customHeight="false" outlineLevel="0" collapsed="false">
      <c r="A97" s="13" t="n">
        <v>93</v>
      </c>
      <c r="B97" s="4" t="s">
        <v>655</v>
      </c>
      <c r="C97" s="24" t="s">
        <v>351</v>
      </c>
      <c r="D97" s="4" t="s">
        <v>656</v>
      </c>
      <c r="E97" s="4" t="s">
        <v>659</v>
      </c>
      <c r="F97" s="13" t="s">
        <v>34</v>
      </c>
      <c r="G97" s="13" t="s">
        <v>329</v>
      </c>
      <c r="H97" s="13" t="s">
        <v>330</v>
      </c>
      <c r="I97" s="13" t="s">
        <v>119</v>
      </c>
      <c r="J97" s="4"/>
      <c r="K97" s="15" t="s">
        <v>744</v>
      </c>
    </row>
    <row r="98" customFormat="false" ht="15" hidden="false" customHeight="false" outlineLevel="0" collapsed="false">
      <c r="A98" s="13" t="n">
        <v>94</v>
      </c>
      <c r="B98" s="4" t="s">
        <v>655</v>
      </c>
      <c r="C98" s="25" t="s">
        <v>362</v>
      </c>
      <c r="D98" s="4" t="s">
        <v>661</v>
      </c>
      <c r="E98" s="4" t="s">
        <v>662</v>
      </c>
      <c r="F98" s="13" t="s">
        <v>34</v>
      </c>
      <c r="G98" s="13" t="s">
        <v>329</v>
      </c>
      <c r="H98" s="13" t="s">
        <v>330</v>
      </c>
      <c r="I98" s="13" t="s">
        <v>119</v>
      </c>
      <c r="J98" s="4"/>
      <c r="K98" s="15" t="s">
        <v>744</v>
      </c>
    </row>
    <row r="99" customFormat="false" ht="15" hidden="false" customHeight="false" outlineLevel="0" collapsed="false">
      <c r="A99" s="13" t="n">
        <v>95</v>
      </c>
      <c r="B99" s="4" t="s">
        <v>655</v>
      </c>
      <c r="C99" s="15" t="s">
        <v>371</v>
      </c>
      <c r="D99" s="4" t="s">
        <v>661</v>
      </c>
      <c r="E99" s="4" t="s">
        <v>663</v>
      </c>
      <c r="F99" s="13" t="s">
        <v>34</v>
      </c>
      <c r="G99" s="13" t="s">
        <v>329</v>
      </c>
      <c r="H99" s="13" t="s">
        <v>330</v>
      </c>
      <c r="I99" s="13" t="s">
        <v>119</v>
      </c>
      <c r="J99" s="4"/>
      <c r="K99" s="15" t="s">
        <v>744</v>
      </c>
    </row>
    <row r="100" customFormat="false" ht="15" hidden="false" customHeight="false" outlineLevel="0" collapsed="false">
      <c r="A100" s="13" t="n">
        <v>96</v>
      </c>
      <c r="B100" s="4" t="s">
        <v>655</v>
      </c>
      <c r="C100" s="24" t="s">
        <v>351</v>
      </c>
      <c r="D100" s="4" t="s">
        <v>664</v>
      </c>
      <c r="E100" s="4" t="s">
        <v>665</v>
      </c>
      <c r="F100" s="13" t="s">
        <v>34</v>
      </c>
      <c r="G100" s="13" t="s">
        <v>329</v>
      </c>
      <c r="H100" s="13" t="s">
        <v>330</v>
      </c>
      <c r="I100" s="13" t="s">
        <v>119</v>
      </c>
      <c r="J100" s="4"/>
      <c r="K100" s="15" t="s">
        <v>744</v>
      </c>
    </row>
    <row r="101" customFormat="false" ht="15" hidden="false" customHeight="false" outlineLevel="0" collapsed="false">
      <c r="A101" s="13" t="n">
        <v>97</v>
      </c>
      <c r="B101" s="4" t="s">
        <v>655</v>
      </c>
      <c r="C101" s="24" t="s">
        <v>351</v>
      </c>
      <c r="D101" s="4" t="s">
        <v>666</v>
      </c>
      <c r="E101" s="4" t="s">
        <v>667</v>
      </c>
      <c r="F101" s="13" t="s">
        <v>34</v>
      </c>
      <c r="G101" s="13" t="s">
        <v>329</v>
      </c>
      <c r="H101" s="13" t="s">
        <v>330</v>
      </c>
      <c r="I101" s="13" t="s">
        <v>119</v>
      </c>
      <c r="J101" s="4"/>
      <c r="K101" s="15" t="s">
        <v>744</v>
      </c>
    </row>
    <row r="102" customFormat="false" ht="15" hidden="false" customHeight="false" outlineLevel="0" collapsed="false">
      <c r="A102" s="13" t="n">
        <v>98</v>
      </c>
      <c r="B102" s="4" t="s">
        <v>655</v>
      </c>
      <c r="C102" s="24" t="s">
        <v>351</v>
      </c>
      <c r="D102" s="4" t="s">
        <v>669</v>
      </c>
      <c r="E102" s="4" t="s">
        <v>670</v>
      </c>
      <c r="F102" s="13" t="s">
        <v>34</v>
      </c>
      <c r="G102" s="13" t="s">
        <v>329</v>
      </c>
      <c r="H102" s="13" t="s">
        <v>330</v>
      </c>
      <c r="I102" s="13" t="s">
        <v>119</v>
      </c>
      <c r="J102" s="4"/>
      <c r="K102" s="15" t="s">
        <v>744</v>
      </c>
    </row>
    <row r="103" customFormat="false" ht="15" hidden="false" customHeight="false" outlineLevel="0" collapsed="false">
      <c r="A103" s="13" t="n">
        <v>99</v>
      </c>
      <c r="B103" s="4" t="s">
        <v>655</v>
      </c>
      <c r="C103" s="24" t="s">
        <v>351</v>
      </c>
      <c r="D103" s="4" t="s">
        <v>671</v>
      </c>
      <c r="E103" s="4" t="s">
        <v>672</v>
      </c>
      <c r="F103" s="13" t="s">
        <v>34</v>
      </c>
      <c r="G103" s="13" t="s">
        <v>329</v>
      </c>
      <c r="H103" s="13" t="s">
        <v>330</v>
      </c>
      <c r="I103" s="13" t="s">
        <v>119</v>
      </c>
      <c r="J103" s="4"/>
      <c r="K103" s="15" t="s">
        <v>744</v>
      </c>
    </row>
    <row r="104" customFormat="false" ht="15" hidden="false" customHeight="false" outlineLevel="0" collapsed="false">
      <c r="A104" s="13" t="n">
        <v>100</v>
      </c>
      <c r="B104" s="4" t="s">
        <v>655</v>
      </c>
      <c r="C104" s="24" t="s">
        <v>351</v>
      </c>
      <c r="D104" s="4" t="s">
        <v>674</v>
      </c>
      <c r="E104" s="4" t="s">
        <v>675</v>
      </c>
      <c r="F104" s="13" t="s">
        <v>34</v>
      </c>
      <c r="G104" s="13" t="s">
        <v>329</v>
      </c>
      <c r="H104" s="13" t="s">
        <v>330</v>
      </c>
      <c r="I104" s="13" t="s">
        <v>119</v>
      </c>
      <c r="J104" s="4"/>
      <c r="K104" s="15" t="s">
        <v>744</v>
      </c>
    </row>
    <row r="105" customFormat="false" ht="15" hidden="false" customHeight="false" outlineLevel="0" collapsed="false">
      <c r="A105" s="13" t="n">
        <v>101</v>
      </c>
      <c r="B105" s="4" t="s">
        <v>655</v>
      </c>
      <c r="C105" s="24" t="s">
        <v>351</v>
      </c>
      <c r="D105" s="4" t="s">
        <v>677</v>
      </c>
      <c r="E105" s="4" t="s">
        <v>678</v>
      </c>
      <c r="F105" s="13" t="s">
        <v>34</v>
      </c>
      <c r="G105" s="13" t="s">
        <v>329</v>
      </c>
      <c r="H105" s="13" t="s">
        <v>330</v>
      </c>
      <c r="I105" s="13" t="s">
        <v>119</v>
      </c>
      <c r="J105" s="4"/>
      <c r="K105" s="15" t="s">
        <v>744</v>
      </c>
    </row>
    <row r="106" customFormat="false" ht="15" hidden="false" customHeight="false" outlineLevel="0" collapsed="false">
      <c r="A106" s="13" t="n">
        <v>102</v>
      </c>
      <c r="B106" s="4" t="s">
        <v>655</v>
      </c>
      <c r="C106" s="24" t="s">
        <v>351</v>
      </c>
      <c r="D106" s="4" t="s">
        <v>679</v>
      </c>
      <c r="E106" s="4" t="s">
        <v>680</v>
      </c>
      <c r="F106" s="13" t="s">
        <v>34</v>
      </c>
      <c r="G106" s="13" t="s">
        <v>329</v>
      </c>
      <c r="H106" s="13" t="s">
        <v>330</v>
      </c>
      <c r="I106" s="13" t="s">
        <v>179</v>
      </c>
      <c r="J106" s="4"/>
      <c r="K106" s="15" t="s">
        <v>744</v>
      </c>
    </row>
    <row r="107" customFormat="false" ht="15" hidden="false" customHeight="false" outlineLevel="0" collapsed="false">
      <c r="A107" s="13" t="n">
        <v>103</v>
      </c>
      <c r="B107" s="4" t="s">
        <v>655</v>
      </c>
      <c r="C107" s="24" t="s">
        <v>351</v>
      </c>
      <c r="D107" s="4" t="s">
        <v>681</v>
      </c>
      <c r="E107" s="4" t="s">
        <v>682</v>
      </c>
      <c r="F107" s="13" t="s">
        <v>34</v>
      </c>
      <c r="G107" s="13" t="s">
        <v>329</v>
      </c>
      <c r="H107" s="13" t="s">
        <v>330</v>
      </c>
      <c r="I107" s="13" t="s">
        <v>119</v>
      </c>
      <c r="J107" s="4"/>
      <c r="K107" s="15" t="s">
        <v>744</v>
      </c>
    </row>
    <row r="108" customFormat="false" ht="15" hidden="false" customHeight="false" outlineLevel="0" collapsed="false">
      <c r="A108" s="13" t="n">
        <v>104</v>
      </c>
      <c r="B108" s="4" t="s">
        <v>655</v>
      </c>
      <c r="C108" s="25" t="s">
        <v>362</v>
      </c>
      <c r="D108" s="4" t="s">
        <v>684</v>
      </c>
      <c r="E108" s="4" t="s">
        <v>685</v>
      </c>
      <c r="F108" s="13" t="s">
        <v>34</v>
      </c>
      <c r="G108" s="13" t="s">
        <v>329</v>
      </c>
      <c r="H108" s="13" t="s">
        <v>330</v>
      </c>
      <c r="I108" s="13" t="s">
        <v>179</v>
      </c>
      <c r="J108" s="4"/>
      <c r="K108" s="15" t="s">
        <v>744</v>
      </c>
    </row>
    <row r="109" customFormat="false" ht="15" hidden="false" customHeight="false" outlineLevel="0" collapsed="false">
      <c r="A109" s="13" t="n">
        <v>105</v>
      </c>
      <c r="B109" s="4" t="s">
        <v>499</v>
      </c>
      <c r="C109" s="25" t="s">
        <v>362</v>
      </c>
      <c r="D109" s="4" t="s">
        <v>500</v>
      </c>
      <c r="E109" s="4" t="s">
        <v>501</v>
      </c>
      <c r="F109" s="13" t="s">
        <v>30</v>
      </c>
      <c r="G109" s="13" t="s">
        <v>330</v>
      </c>
      <c r="H109" s="13" t="s">
        <v>331</v>
      </c>
      <c r="I109" s="13" t="s">
        <v>119</v>
      </c>
      <c r="J109" s="4"/>
      <c r="K109" s="15" t="s">
        <v>744</v>
      </c>
    </row>
    <row r="110" customFormat="false" ht="15" hidden="false" customHeight="false" outlineLevel="0" collapsed="false">
      <c r="A110" s="13" t="n">
        <v>106</v>
      </c>
      <c r="B110" s="4" t="s">
        <v>499</v>
      </c>
      <c r="C110" s="25" t="s">
        <v>362</v>
      </c>
      <c r="D110" s="4" t="s">
        <v>503</v>
      </c>
      <c r="E110" s="4" t="s">
        <v>504</v>
      </c>
      <c r="F110" s="13" t="s">
        <v>30</v>
      </c>
      <c r="G110" s="13" t="s">
        <v>330</v>
      </c>
      <c r="H110" s="13" t="s">
        <v>331</v>
      </c>
      <c r="I110" s="13" t="s">
        <v>119</v>
      </c>
      <c r="J110" s="4"/>
      <c r="K110" s="15" t="s">
        <v>744</v>
      </c>
    </row>
    <row r="111" customFormat="false" ht="23.85" hidden="false" customHeight="false" outlineLevel="0" collapsed="false">
      <c r="A111" s="13" t="n">
        <v>107</v>
      </c>
      <c r="B111" s="4" t="s">
        <v>499</v>
      </c>
      <c r="C111" s="25" t="s">
        <v>362</v>
      </c>
      <c r="D111" s="4" t="s">
        <v>506</v>
      </c>
      <c r="E111" s="4" t="s">
        <v>507</v>
      </c>
      <c r="F111" s="13" t="s">
        <v>30</v>
      </c>
      <c r="G111" s="13" t="s">
        <v>330</v>
      </c>
      <c r="H111" s="13" t="s">
        <v>331</v>
      </c>
      <c r="I111" s="13" t="s">
        <v>119</v>
      </c>
      <c r="J111" s="4"/>
      <c r="K111" s="15" t="s">
        <v>744</v>
      </c>
    </row>
    <row r="112" customFormat="false" ht="15" hidden="false" customHeight="false" outlineLevel="0" collapsed="false">
      <c r="A112" s="13" t="n">
        <v>108</v>
      </c>
      <c r="B112" s="4" t="s">
        <v>499</v>
      </c>
      <c r="C112" s="25" t="s">
        <v>362</v>
      </c>
      <c r="D112" s="4" t="s">
        <v>509</v>
      </c>
      <c r="E112" s="4" t="s">
        <v>510</v>
      </c>
      <c r="F112" s="13" t="s">
        <v>30</v>
      </c>
      <c r="G112" s="13" t="s">
        <v>330</v>
      </c>
      <c r="H112" s="13" t="s">
        <v>331</v>
      </c>
      <c r="I112" s="13" t="s">
        <v>179</v>
      </c>
      <c r="J112" s="4"/>
      <c r="K112" s="15" t="s">
        <v>744</v>
      </c>
    </row>
    <row r="113" customFormat="false" ht="23.85" hidden="false" customHeight="false" outlineLevel="0" collapsed="false">
      <c r="A113" s="13" t="n">
        <v>109</v>
      </c>
      <c r="B113" s="4" t="s">
        <v>499</v>
      </c>
      <c r="C113" s="25" t="s">
        <v>362</v>
      </c>
      <c r="D113" s="4" t="s">
        <v>512</v>
      </c>
      <c r="E113" s="4" t="s">
        <v>513</v>
      </c>
      <c r="F113" s="13" t="s">
        <v>30</v>
      </c>
      <c r="G113" s="13" t="s">
        <v>330</v>
      </c>
      <c r="H113" s="13" t="s">
        <v>331</v>
      </c>
      <c r="I113" s="13" t="s">
        <v>119</v>
      </c>
      <c r="J113" s="4"/>
      <c r="K113" s="15" t="s">
        <v>744</v>
      </c>
    </row>
    <row r="114" customFormat="false" ht="15" hidden="false" customHeight="false" outlineLevel="0" collapsed="false">
      <c r="A114" s="13" t="n">
        <v>110</v>
      </c>
      <c r="B114" s="4" t="s">
        <v>499</v>
      </c>
      <c r="C114" s="25" t="s">
        <v>362</v>
      </c>
      <c r="D114" s="4" t="s">
        <v>515</v>
      </c>
      <c r="E114" s="4" t="s">
        <v>516</v>
      </c>
      <c r="F114" s="13" t="s">
        <v>30</v>
      </c>
      <c r="G114" s="13" t="s">
        <v>330</v>
      </c>
      <c r="H114" s="13" t="s">
        <v>331</v>
      </c>
      <c r="I114" s="13" t="s">
        <v>119</v>
      </c>
      <c r="J114" s="4"/>
      <c r="K114" s="15" t="s">
        <v>744</v>
      </c>
    </row>
    <row r="115" customFormat="false" ht="15" hidden="false" customHeight="false" outlineLevel="0" collapsed="false">
      <c r="A115" s="13" t="n">
        <v>111</v>
      </c>
      <c r="B115" s="4" t="s">
        <v>499</v>
      </c>
      <c r="C115" s="25" t="s">
        <v>362</v>
      </c>
      <c r="D115" s="4" t="s">
        <v>517</v>
      </c>
      <c r="E115" s="4" t="s">
        <v>518</v>
      </c>
      <c r="F115" s="13" t="s">
        <v>30</v>
      </c>
      <c r="G115" s="13" t="s">
        <v>330</v>
      </c>
      <c r="H115" s="13" t="s">
        <v>331</v>
      </c>
      <c r="I115" s="13" t="s">
        <v>119</v>
      </c>
      <c r="J115" s="4"/>
      <c r="K115" s="15" t="s">
        <v>744</v>
      </c>
    </row>
    <row r="116" customFormat="false" ht="15" hidden="false" customHeight="false" outlineLevel="0" collapsed="false">
      <c r="A116" s="13" t="n">
        <v>112</v>
      </c>
      <c r="B116" s="4" t="s">
        <v>499</v>
      </c>
      <c r="C116" s="25" t="s">
        <v>362</v>
      </c>
      <c r="D116" s="4" t="s">
        <v>520</v>
      </c>
      <c r="E116" s="4" t="s">
        <v>521</v>
      </c>
      <c r="F116" s="13" t="s">
        <v>30</v>
      </c>
      <c r="G116" s="13" t="s">
        <v>330</v>
      </c>
      <c r="H116" s="13" t="s">
        <v>331</v>
      </c>
      <c r="I116" s="13" t="s">
        <v>119</v>
      </c>
      <c r="J116" s="4"/>
      <c r="K116" s="15" t="s">
        <v>744</v>
      </c>
    </row>
    <row r="117" customFormat="false" ht="23.85" hidden="false" customHeight="false" outlineLevel="0" collapsed="false">
      <c r="A117" s="13" t="n">
        <v>113</v>
      </c>
      <c r="B117" s="4" t="s">
        <v>522</v>
      </c>
      <c r="C117" s="25" t="s">
        <v>362</v>
      </c>
      <c r="D117" s="4" t="s">
        <v>523</v>
      </c>
      <c r="E117" s="4" t="s">
        <v>524</v>
      </c>
      <c r="F117" s="13" t="s">
        <v>30</v>
      </c>
      <c r="G117" s="13" t="s">
        <v>330</v>
      </c>
      <c r="H117" s="13" t="s">
        <v>331</v>
      </c>
      <c r="I117" s="13" t="s">
        <v>119</v>
      </c>
      <c r="J117" s="4"/>
      <c r="K117" s="15" t="s">
        <v>744</v>
      </c>
    </row>
    <row r="118" customFormat="false" ht="15" hidden="false" customHeight="false" outlineLevel="0" collapsed="false">
      <c r="A118" s="13" t="n">
        <v>114</v>
      </c>
      <c r="B118" s="4" t="s">
        <v>686</v>
      </c>
      <c r="C118" s="25" t="s">
        <v>362</v>
      </c>
      <c r="D118" s="4" t="s">
        <v>687</v>
      </c>
      <c r="E118" s="4" t="s">
        <v>688</v>
      </c>
      <c r="F118" s="13" t="s">
        <v>34</v>
      </c>
      <c r="G118" s="13" t="s">
        <v>330</v>
      </c>
      <c r="H118" s="13" t="s">
        <v>331</v>
      </c>
      <c r="I118" s="13" t="s">
        <v>119</v>
      </c>
      <c r="J118" s="4"/>
      <c r="K118" s="15" t="s">
        <v>744</v>
      </c>
    </row>
    <row r="119" customFormat="false" ht="15" hidden="false" customHeight="false" outlineLevel="0" collapsed="false">
      <c r="A119" s="13" t="n">
        <v>115</v>
      </c>
      <c r="B119" s="4" t="s">
        <v>686</v>
      </c>
      <c r="C119" s="24" t="s">
        <v>351</v>
      </c>
      <c r="D119" s="4" t="s">
        <v>687</v>
      </c>
      <c r="E119" s="4" t="s">
        <v>690</v>
      </c>
      <c r="F119" s="13" t="s">
        <v>34</v>
      </c>
      <c r="G119" s="13" t="s">
        <v>330</v>
      </c>
      <c r="H119" s="13" t="s">
        <v>331</v>
      </c>
      <c r="I119" s="13" t="s">
        <v>119</v>
      </c>
      <c r="J119" s="4"/>
      <c r="K119" s="15" t="s">
        <v>744</v>
      </c>
    </row>
    <row r="120" customFormat="false" ht="15" hidden="false" customHeight="false" outlineLevel="0" collapsed="false">
      <c r="A120" s="13" t="n">
        <v>116</v>
      </c>
      <c r="B120" s="4" t="s">
        <v>686</v>
      </c>
      <c r="C120" s="25" t="s">
        <v>362</v>
      </c>
      <c r="D120" s="4" t="s">
        <v>692</v>
      </c>
      <c r="E120" s="4" t="s">
        <v>693</v>
      </c>
      <c r="F120" s="13" t="s">
        <v>34</v>
      </c>
      <c r="G120" s="13" t="s">
        <v>330</v>
      </c>
      <c r="H120" s="13" t="s">
        <v>331</v>
      </c>
      <c r="I120" s="13" t="s">
        <v>119</v>
      </c>
      <c r="J120" s="4"/>
      <c r="K120" s="15" t="s">
        <v>744</v>
      </c>
    </row>
    <row r="121" customFormat="false" ht="15" hidden="false" customHeight="false" outlineLevel="0" collapsed="false">
      <c r="A121" s="13" t="n">
        <v>117</v>
      </c>
      <c r="B121" s="4" t="s">
        <v>686</v>
      </c>
      <c r="C121" s="15" t="s">
        <v>371</v>
      </c>
      <c r="D121" s="4" t="s">
        <v>692</v>
      </c>
      <c r="E121" s="4" t="s">
        <v>694</v>
      </c>
      <c r="F121" s="13" t="s">
        <v>34</v>
      </c>
      <c r="G121" s="13" t="s">
        <v>330</v>
      </c>
      <c r="H121" s="13" t="s">
        <v>331</v>
      </c>
      <c r="I121" s="13" t="s">
        <v>179</v>
      </c>
      <c r="J121" s="4"/>
      <c r="K121" s="15" t="s">
        <v>744</v>
      </c>
    </row>
    <row r="122" customFormat="false" ht="15" hidden="false" customHeight="false" outlineLevel="0" collapsed="false">
      <c r="A122" s="13" t="n">
        <v>118</v>
      </c>
      <c r="B122" s="4" t="s">
        <v>686</v>
      </c>
      <c r="C122" s="24" t="s">
        <v>351</v>
      </c>
      <c r="D122" s="4" t="s">
        <v>695</v>
      </c>
      <c r="E122" s="4" t="s">
        <v>696</v>
      </c>
      <c r="F122" s="13" t="s">
        <v>34</v>
      </c>
      <c r="G122" s="13" t="s">
        <v>330</v>
      </c>
      <c r="H122" s="13" t="s">
        <v>331</v>
      </c>
      <c r="I122" s="13" t="s">
        <v>119</v>
      </c>
      <c r="J122" s="4"/>
      <c r="K122" s="15" t="s">
        <v>744</v>
      </c>
    </row>
    <row r="123" customFormat="false" ht="15" hidden="false" customHeight="false" outlineLevel="0" collapsed="false">
      <c r="A123" s="13" t="n">
        <v>119</v>
      </c>
      <c r="B123" s="4" t="s">
        <v>686</v>
      </c>
      <c r="C123" s="25" t="s">
        <v>362</v>
      </c>
      <c r="D123" s="4" t="s">
        <v>698</v>
      </c>
      <c r="E123" s="4" t="s">
        <v>699</v>
      </c>
      <c r="F123" s="13" t="s">
        <v>34</v>
      </c>
      <c r="G123" s="13" t="s">
        <v>330</v>
      </c>
      <c r="H123" s="13" t="s">
        <v>331</v>
      </c>
      <c r="I123" s="13" t="s">
        <v>119</v>
      </c>
      <c r="J123" s="4"/>
      <c r="K123" s="15" t="s">
        <v>744</v>
      </c>
    </row>
    <row r="124" customFormat="false" ht="15" hidden="false" customHeight="false" outlineLevel="0" collapsed="false">
      <c r="A124" s="13" t="n">
        <v>120</v>
      </c>
      <c r="B124" s="4" t="s">
        <v>686</v>
      </c>
      <c r="C124" s="24" t="s">
        <v>351</v>
      </c>
      <c r="D124" s="4" t="s">
        <v>700</v>
      </c>
      <c r="E124" s="4" t="s">
        <v>701</v>
      </c>
      <c r="F124" s="13" t="s">
        <v>34</v>
      </c>
      <c r="G124" s="13" t="s">
        <v>330</v>
      </c>
      <c r="H124" s="13" t="s">
        <v>331</v>
      </c>
      <c r="I124" s="13" t="s">
        <v>301</v>
      </c>
      <c r="J124" s="4"/>
      <c r="K124" s="15" t="s">
        <v>744</v>
      </c>
    </row>
    <row r="125" customFormat="false" ht="15" hidden="false" customHeight="false" outlineLevel="0" collapsed="false">
      <c r="A125" s="13" t="n">
        <v>121</v>
      </c>
      <c r="B125" s="4" t="s">
        <v>702</v>
      </c>
      <c r="C125" s="24" t="s">
        <v>351</v>
      </c>
      <c r="D125" s="4" t="s">
        <v>703</v>
      </c>
      <c r="E125" s="4" t="s">
        <v>704</v>
      </c>
      <c r="F125" s="13" t="s">
        <v>34</v>
      </c>
      <c r="G125" s="13" t="s">
        <v>330</v>
      </c>
      <c r="H125" s="13" t="s">
        <v>331</v>
      </c>
      <c r="I125" s="13" t="s">
        <v>119</v>
      </c>
      <c r="J125" s="4"/>
      <c r="K125" s="15" t="s">
        <v>744</v>
      </c>
    </row>
    <row r="126" customFormat="false" ht="15" hidden="false" customHeight="false" outlineLevel="0" collapsed="false">
      <c r="A126" s="13" t="n">
        <v>122</v>
      </c>
      <c r="B126" s="4" t="s">
        <v>702</v>
      </c>
      <c r="C126" s="24" t="s">
        <v>351</v>
      </c>
      <c r="D126" s="4" t="s">
        <v>706</v>
      </c>
      <c r="E126" s="4" t="s">
        <v>707</v>
      </c>
      <c r="F126" s="13" t="s">
        <v>34</v>
      </c>
      <c r="G126" s="13" t="s">
        <v>330</v>
      </c>
      <c r="H126" s="13" t="s">
        <v>331</v>
      </c>
      <c r="I126" s="13" t="s">
        <v>119</v>
      </c>
      <c r="J126" s="4"/>
      <c r="K126" s="15" t="s">
        <v>744</v>
      </c>
    </row>
    <row r="127" customFormat="false" ht="15" hidden="false" customHeight="false" outlineLevel="0" collapsed="false">
      <c r="A127" s="13" t="n">
        <v>123</v>
      </c>
      <c r="B127" s="4" t="s">
        <v>702</v>
      </c>
      <c r="C127" s="25" t="s">
        <v>362</v>
      </c>
      <c r="D127" s="4" t="s">
        <v>706</v>
      </c>
      <c r="E127" s="4" t="s">
        <v>709</v>
      </c>
      <c r="F127" s="13" t="s">
        <v>34</v>
      </c>
      <c r="G127" s="13" t="s">
        <v>330</v>
      </c>
      <c r="H127" s="13" t="s">
        <v>331</v>
      </c>
      <c r="I127" s="13" t="s">
        <v>119</v>
      </c>
      <c r="J127" s="4"/>
      <c r="K127" s="15" t="s">
        <v>744</v>
      </c>
    </row>
    <row r="128" customFormat="false" ht="15" hidden="false" customHeight="false" outlineLevel="0" collapsed="false">
      <c r="A128" s="13" t="n">
        <v>124</v>
      </c>
      <c r="B128" s="4" t="s">
        <v>702</v>
      </c>
      <c r="C128" s="25" t="s">
        <v>362</v>
      </c>
      <c r="D128" s="4" t="s">
        <v>710</v>
      </c>
      <c r="E128" s="4" t="s">
        <v>711</v>
      </c>
      <c r="F128" s="13" t="s">
        <v>34</v>
      </c>
      <c r="G128" s="13" t="s">
        <v>330</v>
      </c>
      <c r="H128" s="13" t="s">
        <v>331</v>
      </c>
      <c r="I128" s="13" t="s">
        <v>119</v>
      </c>
      <c r="J128" s="4"/>
      <c r="K128" s="15" t="s">
        <v>744</v>
      </c>
    </row>
    <row r="129" customFormat="false" ht="15" hidden="false" customHeight="false" outlineLevel="0" collapsed="false">
      <c r="A129" s="13" t="n">
        <v>125</v>
      </c>
      <c r="B129" s="4" t="s">
        <v>702</v>
      </c>
      <c r="C129" s="24" t="s">
        <v>351</v>
      </c>
      <c r="D129" s="4" t="s">
        <v>712</v>
      </c>
      <c r="E129" s="4" t="s">
        <v>713</v>
      </c>
      <c r="F129" s="13" t="s">
        <v>34</v>
      </c>
      <c r="G129" s="13" t="s">
        <v>330</v>
      </c>
      <c r="H129" s="13" t="s">
        <v>331</v>
      </c>
      <c r="I129" s="13" t="s">
        <v>119</v>
      </c>
      <c r="J129" s="4"/>
      <c r="K129" s="15" t="s">
        <v>744</v>
      </c>
    </row>
    <row r="130" customFormat="false" ht="15" hidden="false" customHeight="false" outlineLevel="0" collapsed="false">
      <c r="A130" s="13" t="n">
        <v>126</v>
      </c>
      <c r="B130" s="4" t="s">
        <v>526</v>
      </c>
      <c r="C130" s="25" t="s">
        <v>362</v>
      </c>
      <c r="D130" s="4" t="s">
        <v>527</v>
      </c>
      <c r="E130" s="4" t="s">
        <v>528</v>
      </c>
      <c r="F130" s="13" t="s">
        <v>30</v>
      </c>
      <c r="G130" s="13" t="s">
        <v>331</v>
      </c>
      <c r="H130" s="13" t="s">
        <v>332</v>
      </c>
      <c r="I130" s="13" t="s">
        <v>179</v>
      </c>
      <c r="J130" s="4"/>
      <c r="K130" s="15" t="s">
        <v>744</v>
      </c>
    </row>
    <row r="131" customFormat="false" ht="15" hidden="false" customHeight="false" outlineLevel="0" collapsed="false">
      <c r="A131" s="13" t="n">
        <v>127</v>
      </c>
      <c r="B131" s="4" t="s">
        <v>526</v>
      </c>
      <c r="C131" s="24" t="s">
        <v>351</v>
      </c>
      <c r="D131" s="4" t="s">
        <v>527</v>
      </c>
      <c r="E131" s="4" t="s">
        <v>530</v>
      </c>
      <c r="F131" s="13" t="s">
        <v>30</v>
      </c>
      <c r="G131" s="13" t="s">
        <v>331</v>
      </c>
      <c r="H131" s="13" t="s">
        <v>332</v>
      </c>
      <c r="I131" s="13" t="s">
        <v>179</v>
      </c>
      <c r="J131" s="4"/>
      <c r="K131" s="15" t="s">
        <v>744</v>
      </c>
    </row>
    <row r="132" customFormat="false" ht="15" hidden="false" customHeight="false" outlineLevel="0" collapsed="false">
      <c r="A132" s="13" t="n">
        <v>128</v>
      </c>
      <c r="B132" s="4" t="s">
        <v>714</v>
      </c>
      <c r="C132" s="25" t="s">
        <v>362</v>
      </c>
      <c r="D132" s="4" t="s">
        <v>715</v>
      </c>
      <c r="E132" s="4" t="s">
        <v>716</v>
      </c>
      <c r="F132" s="13" t="s">
        <v>34</v>
      </c>
      <c r="G132" s="13" t="s">
        <v>331</v>
      </c>
      <c r="H132" s="13" t="s">
        <v>332</v>
      </c>
      <c r="I132" s="13" t="s">
        <v>119</v>
      </c>
      <c r="J132" s="4"/>
      <c r="K132" s="15" t="s">
        <v>744</v>
      </c>
    </row>
    <row r="133" customFormat="false" ht="15" hidden="false" customHeight="false" outlineLevel="0" collapsed="false">
      <c r="A133" s="13" t="n">
        <v>129</v>
      </c>
      <c r="B133" s="4" t="s">
        <v>714</v>
      </c>
      <c r="C133" s="24" t="s">
        <v>351</v>
      </c>
      <c r="D133" s="4" t="s">
        <v>715</v>
      </c>
      <c r="E133" s="4" t="s">
        <v>718</v>
      </c>
      <c r="F133" s="13" t="s">
        <v>34</v>
      </c>
      <c r="G133" s="13" t="s">
        <v>331</v>
      </c>
      <c r="H133" s="13" t="s">
        <v>332</v>
      </c>
      <c r="I133" s="13" t="s">
        <v>119</v>
      </c>
      <c r="J133" s="4"/>
      <c r="K133" s="15" t="s">
        <v>744</v>
      </c>
    </row>
    <row r="134" customFormat="false" ht="15" hidden="false" customHeight="false" outlineLevel="0" collapsed="false">
      <c r="A134" s="13" t="n">
        <v>130</v>
      </c>
      <c r="B134" s="4" t="s">
        <v>714</v>
      </c>
      <c r="C134" s="25" t="s">
        <v>362</v>
      </c>
      <c r="D134" s="4" t="s">
        <v>720</v>
      </c>
      <c r="E134" s="4" t="s">
        <v>721</v>
      </c>
      <c r="F134" s="13" t="s">
        <v>34</v>
      </c>
      <c r="G134" s="13" t="s">
        <v>331</v>
      </c>
      <c r="H134" s="13" t="s">
        <v>332</v>
      </c>
      <c r="I134" s="13" t="s">
        <v>119</v>
      </c>
      <c r="J134" s="4"/>
      <c r="K134" s="15" t="s">
        <v>744</v>
      </c>
    </row>
    <row r="135" customFormat="false" ht="15" hidden="false" customHeight="false" outlineLevel="0" collapsed="false">
      <c r="A135" s="13" t="n">
        <v>131</v>
      </c>
      <c r="B135" s="4" t="s">
        <v>714</v>
      </c>
      <c r="C135" s="15" t="s">
        <v>371</v>
      </c>
      <c r="D135" s="4" t="s">
        <v>722</v>
      </c>
      <c r="E135" s="4" t="s">
        <v>723</v>
      </c>
      <c r="F135" s="13" t="s">
        <v>34</v>
      </c>
      <c r="G135" s="13" t="s">
        <v>331</v>
      </c>
      <c r="H135" s="13" t="s">
        <v>332</v>
      </c>
      <c r="I135" s="13" t="s">
        <v>119</v>
      </c>
      <c r="J135" s="4"/>
      <c r="K135" s="15" t="s">
        <v>744</v>
      </c>
    </row>
    <row r="136" customFormat="false" ht="15" hidden="false" customHeight="false" outlineLevel="0" collapsed="false">
      <c r="A136" s="13" t="n">
        <v>132</v>
      </c>
      <c r="B136" s="4" t="s">
        <v>714</v>
      </c>
      <c r="C136" s="24" t="s">
        <v>351</v>
      </c>
      <c r="D136" s="4" t="s">
        <v>724</v>
      </c>
      <c r="E136" s="4" t="s">
        <v>725</v>
      </c>
      <c r="F136" s="13" t="s">
        <v>34</v>
      </c>
      <c r="G136" s="13" t="s">
        <v>331</v>
      </c>
      <c r="H136" s="13" t="s">
        <v>332</v>
      </c>
      <c r="I136" s="13" t="s">
        <v>119</v>
      </c>
      <c r="J136" s="4"/>
      <c r="K136" s="15" t="s">
        <v>744</v>
      </c>
    </row>
    <row r="137" customFormat="false" ht="15" hidden="false" customHeight="false" outlineLevel="0" collapsed="false">
      <c r="A137" s="13" t="n">
        <v>133</v>
      </c>
      <c r="B137" s="4" t="s">
        <v>714</v>
      </c>
      <c r="C137" s="24" t="s">
        <v>351</v>
      </c>
      <c r="D137" s="4" t="s">
        <v>726</v>
      </c>
      <c r="E137" s="4" t="s">
        <v>727</v>
      </c>
      <c r="F137" s="13" t="s">
        <v>34</v>
      </c>
      <c r="G137" s="13" t="s">
        <v>331</v>
      </c>
      <c r="H137" s="13" t="s">
        <v>332</v>
      </c>
      <c r="I137" s="13" t="s">
        <v>119</v>
      </c>
      <c r="J137" s="4"/>
      <c r="K137" s="15" t="s">
        <v>744</v>
      </c>
    </row>
    <row r="138" customFormat="false" ht="15" hidden="false" customHeight="false" outlineLevel="0" collapsed="false">
      <c r="A138" s="13" t="n">
        <v>134</v>
      </c>
      <c r="B138" s="4" t="s">
        <v>714</v>
      </c>
      <c r="C138" s="24" t="s">
        <v>351</v>
      </c>
      <c r="D138" s="4" t="s">
        <v>728</v>
      </c>
      <c r="E138" s="4" t="s">
        <v>729</v>
      </c>
      <c r="F138" s="13" t="s">
        <v>34</v>
      </c>
      <c r="G138" s="13" t="s">
        <v>331</v>
      </c>
      <c r="H138" s="13" t="s">
        <v>332</v>
      </c>
      <c r="I138" s="13" t="s">
        <v>179</v>
      </c>
      <c r="J138" s="4"/>
      <c r="K138" s="15" t="s">
        <v>744</v>
      </c>
    </row>
    <row r="139" customFormat="false" ht="15" hidden="false" customHeight="false" outlineLevel="0" collapsed="false">
      <c r="A139" s="13" t="n">
        <v>135</v>
      </c>
      <c r="B139" s="4" t="s">
        <v>532</v>
      </c>
      <c r="C139" s="25" t="s">
        <v>362</v>
      </c>
      <c r="D139" s="4" t="s">
        <v>533</v>
      </c>
      <c r="E139" s="4" t="s">
        <v>534</v>
      </c>
      <c r="F139" s="13" t="s">
        <v>30</v>
      </c>
      <c r="G139" s="13" t="s">
        <v>331</v>
      </c>
      <c r="H139" s="13" t="s">
        <v>332</v>
      </c>
      <c r="I139" s="13" t="s">
        <v>119</v>
      </c>
      <c r="J139" s="4"/>
      <c r="K139" s="15" t="s">
        <v>744</v>
      </c>
    </row>
    <row r="140" customFormat="false" ht="15" hidden="false" customHeight="false" outlineLevel="0" collapsed="false">
      <c r="A140" s="13" t="n">
        <v>136</v>
      </c>
      <c r="B140" s="4" t="s">
        <v>730</v>
      </c>
      <c r="C140" s="25" t="s">
        <v>362</v>
      </c>
      <c r="D140" s="4" t="s">
        <v>731</v>
      </c>
      <c r="E140" s="4" t="s">
        <v>732</v>
      </c>
      <c r="F140" s="13" t="s">
        <v>34</v>
      </c>
      <c r="G140" s="13" t="s">
        <v>331</v>
      </c>
      <c r="H140" s="13" t="s">
        <v>332</v>
      </c>
      <c r="I140" s="13" t="s">
        <v>301</v>
      </c>
      <c r="J140" s="4"/>
      <c r="K140" s="15" t="s">
        <v>744</v>
      </c>
    </row>
    <row r="141" customFormat="false" ht="15" hidden="false" customHeight="false" outlineLevel="0" collapsed="false">
      <c r="A141" s="13" t="n">
        <v>137</v>
      </c>
      <c r="B141" s="4" t="s">
        <v>730</v>
      </c>
      <c r="C141" s="24" t="s">
        <v>351</v>
      </c>
      <c r="D141" s="4" t="s">
        <v>731</v>
      </c>
      <c r="E141" s="4" t="s">
        <v>734</v>
      </c>
      <c r="F141" s="13" t="s">
        <v>34</v>
      </c>
      <c r="G141" s="13" t="s">
        <v>331</v>
      </c>
      <c r="H141" s="13" t="s">
        <v>332</v>
      </c>
      <c r="I141" s="13" t="s">
        <v>301</v>
      </c>
      <c r="J141" s="4"/>
      <c r="K141" s="15" t="s">
        <v>744</v>
      </c>
    </row>
    <row r="142" customFormat="false" ht="15" hidden="false" customHeight="false" outlineLevel="0" collapsed="false">
      <c r="A142" s="13" t="n">
        <v>138</v>
      </c>
      <c r="B142" s="4" t="s">
        <v>730</v>
      </c>
      <c r="C142" s="26" t="s">
        <v>399</v>
      </c>
      <c r="D142" s="4" t="s">
        <v>736</v>
      </c>
      <c r="E142" s="4" t="s">
        <v>737</v>
      </c>
      <c r="F142" s="13" t="s">
        <v>34</v>
      </c>
      <c r="G142" s="13" t="s">
        <v>331</v>
      </c>
      <c r="H142" s="13" t="s">
        <v>332</v>
      </c>
      <c r="I142" s="13" t="s">
        <v>301</v>
      </c>
      <c r="J142" s="4"/>
      <c r="K142" s="15" t="s">
        <v>744</v>
      </c>
    </row>
    <row r="143" customFormat="false" ht="15" hidden="false" customHeight="false" outlineLevel="0" collapsed="false">
      <c r="A143" s="13" t="n">
        <v>139</v>
      </c>
      <c r="B143" s="4" t="s">
        <v>535</v>
      </c>
      <c r="C143" s="24" t="s">
        <v>351</v>
      </c>
      <c r="D143" s="4" t="s">
        <v>536</v>
      </c>
      <c r="E143" s="4" t="s">
        <v>537</v>
      </c>
      <c r="F143" s="13" t="s">
        <v>30</v>
      </c>
      <c r="G143" s="13" t="s">
        <v>331</v>
      </c>
      <c r="H143" s="13" t="s">
        <v>332</v>
      </c>
      <c r="I143" s="13" t="s">
        <v>119</v>
      </c>
      <c r="J143" s="4"/>
      <c r="K143" s="15" t="s">
        <v>744</v>
      </c>
    </row>
    <row r="144" customFormat="false" ht="15" hidden="false" customHeight="false" outlineLevel="0" collapsed="false">
      <c r="A144" s="13" t="n">
        <v>140</v>
      </c>
      <c r="B144" s="4" t="s">
        <v>535</v>
      </c>
      <c r="C144" s="25" t="s">
        <v>362</v>
      </c>
      <c r="D144" s="4" t="s">
        <v>539</v>
      </c>
      <c r="E144" s="4" t="s">
        <v>540</v>
      </c>
      <c r="F144" s="13" t="s">
        <v>30</v>
      </c>
      <c r="G144" s="13" t="s">
        <v>331</v>
      </c>
      <c r="H144" s="13" t="s">
        <v>332</v>
      </c>
      <c r="I144" s="13" t="s">
        <v>119</v>
      </c>
      <c r="J144" s="4"/>
      <c r="K144" s="15" t="s">
        <v>744</v>
      </c>
    </row>
    <row r="145" customFormat="false" ht="15" hidden="false" customHeight="false" outlineLevel="0" collapsed="false">
      <c r="A145" s="13" t="n">
        <v>141</v>
      </c>
      <c r="B145" s="4" t="s">
        <v>535</v>
      </c>
      <c r="C145" s="25" t="s">
        <v>362</v>
      </c>
      <c r="D145" s="4" t="s">
        <v>541</v>
      </c>
      <c r="E145" s="4" t="s">
        <v>542</v>
      </c>
      <c r="F145" s="13" t="s">
        <v>30</v>
      </c>
      <c r="G145" s="13" t="s">
        <v>331</v>
      </c>
      <c r="H145" s="13" t="s">
        <v>332</v>
      </c>
      <c r="I145" s="13" t="s">
        <v>119</v>
      </c>
      <c r="J145" s="4"/>
      <c r="K145" s="15" t="s">
        <v>744</v>
      </c>
    </row>
  </sheetData>
  <autoFilter ref="A4:K145"/>
  <dataValidations count="1">
    <dataValidation allowBlank="false" errorStyle="stop" operator="between" showDropDown="false" showErrorMessage="false" showInputMessage="false" sqref="K5:K145" type="list">
      <formula1>"Chưa tích hợp,Dùng mock,Đã tích hợp,Đã test"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12"/>
    <col collapsed="false" customWidth="true" hidden="false" outlineLevel="0" max="4" min="4" style="0" width="8"/>
    <col collapsed="false" customWidth="true" hidden="false" outlineLevel="0" max="5" min="5" style="0" width="12"/>
    <col collapsed="false" customWidth="true" hidden="false" outlineLevel="0" max="6" min="6" style="0" width="13"/>
  </cols>
  <sheetData>
    <row r="1" customFormat="false" ht="17.35" hidden="false" customHeight="false" outlineLevel="0" collapsed="false">
      <c r="A1" s="1" t="s">
        <v>745</v>
      </c>
    </row>
    <row r="2" customFormat="false" ht="15" hidden="false" customHeight="false" outlineLevel="0" collapsed="false">
      <c r="A2" s="2" t="s">
        <v>746</v>
      </c>
    </row>
    <row r="4" customFormat="false" ht="15" hidden="false" customHeight="false" outlineLevel="0" collapsed="false">
      <c r="A4" s="6" t="s">
        <v>97</v>
      </c>
      <c r="B4" s="6" t="s">
        <v>747</v>
      </c>
      <c r="C4" s="6" t="s">
        <v>748</v>
      </c>
      <c r="D4" s="6" t="s">
        <v>119</v>
      </c>
      <c r="E4" s="6" t="s">
        <v>335</v>
      </c>
      <c r="F4" s="6" t="s">
        <v>336</v>
      </c>
    </row>
    <row r="5" customFormat="false" ht="15" hidden="false" customHeight="false" outlineLevel="0" collapsed="false">
      <c r="A5" s="7" t="s">
        <v>30</v>
      </c>
      <c r="B5" s="13" t="s">
        <v>749</v>
      </c>
      <c r="C5" s="13" t="n">
        <f aca="false">COUNTA('API - Nhật'!A5:A80)</f>
        <v>76</v>
      </c>
      <c r="D5" s="13" t="n">
        <f aca="false">COUNTIF('API - Nhật'!I5:I80,"P0")</f>
        <v>57</v>
      </c>
      <c r="E5" s="13" t="n">
        <f aca="false">COUNTIF('API - Nhật'!K5:K80,"Đã test")</f>
        <v>0</v>
      </c>
      <c r="F5" s="18" t="n">
        <f aca="false">IF(C5=0,0,E5/C5)</f>
        <v>0</v>
      </c>
    </row>
    <row r="6" customFormat="false" ht="15" hidden="false" customHeight="false" outlineLevel="0" collapsed="false">
      <c r="A6" s="9" t="s">
        <v>34</v>
      </c>
      <c r="B6" s="13" t="s">
        <v>750</v>
      </c>
      <c r="C6" s="13" t="n">
        <f aca="false">COUNTA('API - Quân'!A5:A85)</f>
        <v>81</v>
      </c>
      <c r="D6" s="13" t="n">
        <f aca="false">COUNTIF('API - Quân'!I5:I85,"P0")</f>
        <v>64</v>
      </c>
      <c r="E6" s="13" t="n">
        <f aca="false">COUNTIF('API - Quân'!K5:K85,"Đã test")</f>
        <v>0</v>
      </c>
      <c r="F6" s="18" t="n">
        <f aca="false">IF(C6=0,0,E6/C6)</f>
        <v>0</v>
      </c>
    </row>
    <row r="7" customFormat="false" ht="15" hidden="false" customHeight="false" outlineLevel="0" collapsed="false">
      <c r="A7" s="10" t="s">
        <v>38</v>
      </c>
      <c r="B7" s="13" t="s">
        <v>751</v>
      </c>
      <c r="C7" s="13" t="n">
        <f aca="false">COUNTA('API - Nghĩa (FE)'!A5:A145)</f>
        <v>141</v>
      </c>
      <c r="D7" s="13" t="n">
        <f aca="false">COUNTIF('API - Nghĩa (FE)'!I5:I145,"P0")</f>
        <v>106</v>
      </c>
      <c r="E7" s="13" t="n">
        <f aca="false">COUNTIF('API - Nghĩa (FE)'!K5:K145,"Đã test")</f>
        <v>0</v>
      </c>
      <c r="F7" s="18" t="n">
        <f aca="false">IF(C7=0,0,E7/C7)</f>
        <v>0</v>
      </c>
    </row>
    <row r="9" customFormat="false" ht="15" hidden="false" customHeight="false" outlineLevel="0" collapsed="false">
      <c r="A9" s="5" t="s">
        <v>752</v>
      </c>
    </row>
    <row r="10" customFormat="false" ht="15" hidden="false" customHeight="false" outlineLevel="0" collapsed="false">
      <c r="A10" s="6" t="s">
        <v>342</v>
      </c>
      <c r="B10" s="6" t="s">
        <v>30</v>
      </c>
      <c r="C10" s="6" t="s">
        <v>34</v>
      </c>
      <c r="D10" s="6" t="s">
        <v>753</v>
      </c>
    </row>
    <row r="11" customFormat="false" ht="15" hidden="false" customHeight="false" outlineLevel="0" collapsed="false">
      <c r="A11" s="29" t="s">
        <v>350</v>
      </c>
      <c r="B11" s="13" t="n">
        <f aca="false">COUNTIF('API - Nhật'!B5:B80,A11)</f>
        <v>23</v>
      </c>
      <c r="C11" s="13" t="n">
        <f aca="false">COUNTIF('API - Quân'!B5:B85,A11)</f>
        <v>0</v>
      </c>
      <c r="D11" s="13" t="n">
        <f aca="false">B11+C11</f>
        <v>23</v>
      </c>
    </row>
    <row r="12" customFormat="false" ht="15" hidden="false" customHeight="false" outlineLevel="0" collapsed="false">
      <c r="A12" s="29" t="s">
        <v>409</v>
      </c>
      <c r="B12" s="13" t="n">
        <f aca="false">COUNTIF('API - Nhật'!B5:B80,A12)</f>
        <v>25</v>
      </c>
      <c r="C12" s="13" t="n">
        <f aca="false">COUNTIF('API - Quân'!B5:B85,A12)</f>
        <v>0</v>
      </c>
      <c r="D12" s="13" t="n">
        <f aca="false">B12+C12</f>
        <v>25</v>
      </c>
    </row>
    <row r="13" customFormat="false" ht="15" hidden="false" customHeight="false" outlineLevel="0" collapsed="false">
      <c r="A13" s="29" t="s">
        <v>545</v>
      </c>
      <c r="B13" s="13" t="n">
        <f aca="false">COUNTIF('API - Nhật'!B5:B80,A13)</f>
        <v>0</v>
      </c>
      <c r="C13" s="13" t="n">
        <f aca="false">COUNTIF('API - Quân'!B5:B85,A13)</f>
        <v>38</v>
      </c>
      <c r="D13" s="13" t="n">
        <f aca="false">B13+C13</f>
        <v>38</v>
      </c>
    </row>
    <row r="14" customFormat="false" ht="15" hidden="false" customHeight="false" outlineLevel="0" collapsed="false">
      <c r="A14" s="29" t="s">
        <v>478</v>
      </c>
      <c r="B14" s="13" t="n">
        <f aca="false">COUNTIF('API - Nhật'!B5:B80,A14)</f>
        <v>6</v>
      </c>
      <c r="C14" s="13" t="n">
        <f aca="false">COUNTIF('API - Quân'!B5:B85,A14)</f>
        <v>43</v>
      </c>
      <c r="D14" s="13" t="n">
        <f aca="false">B14+C14</f>
        <v>49</v>
      </c>
    </row>
    <row r="15" customFormat="false" ht="15" hidden="false" customHeight="false" outlineLevel="0" collapsed="false">
      <c r="A15" s="29" t="s">
        <v>461</v>
      </c>
      <c r="B15" s="13" t="n">
        <f aca="false">COUNTIF('API - Nhật'!B5:B80,A15)</f>
        <v>22</v>
      </c>
      <c r="C15" s="13" t="n">
        <f aca="false">COUNTIF('API - Quân'!B5:B85,A15)</f>
        <v>0</v>
      </c>
      <c r="D15" s="13" t="n">
        <f aca="false">B15+C15</f>
        <v>22</v>
      </c>
    </row>
    <row r="16" customFormat="false" ht="15" hidden="false" customHeight="false" outlineLevel="0" collapsed="false">
      <c r="A16" s="3" t="s">
        <v>753</v>
      </c>
      <c r="B16" s="19" t="n">
        <f aca="false">SUM(B11:B15)</f>
        <v>76</v>
      </c>
      <c r="C16" s="19" t="n">
        <f aca="false">SUM(C11:C15)</f>
        <v>81</v>
      </c>
      <c r="D16" s="19" t="n">
        <f aca="false">SUM(D11:D15)</f>
        <v>157</v>
      </c>
    </row>
    <row r="18" customFormat="false" ht="15" hidden="false" customHeight="false" outlineLevel="0" collapsed="false">
      <c r="A18" s="23" t="s">
        <v>754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3"/>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4"/>
    <col collapsed="false" customWidth="true" hidden="false" outlineLevel="0" max="3" min="3" style="0" width="30"/>
    <col collapsed="false" customWidth="true" hidden="false" outlineLevel="0" max="4" min="4" style="0" width="60"/>
    <col collapsed="false" customWidth="true" hidden="false" outlineLevel="0" max="5" min="5" style="0" width="38"/>
    <col collapsed="false" customWidth="true" hidden="false" outlineLevel="0" max="6" min="6" style="0" width="12"/>
  </cols>
  <sheetData>
    <row r="1" customFormat="false" ht="17.35" hidden="false" customHeight="false" outlineLevel="0" collapsed="false">
      <c r="A1" s="1" t="s">
        <v>755</v>
      </c>
    </row>
    <row r="2" customFormat="false" ht="15" hidden="false" customHeight="false" outlineLevel="0" collapsed="false">
      <c r="A2" s="2" t="s">
        <v>756</v>
      </c>
    </row>
    <row r="4" customFormat="false" ht="23.85" hidden="false" customHeight="false" outlineLevel="0" collapsed="false">
      <c r="A4" s="6" t="s">
        <v>342</v>
      </c>
      <c r="B4" s="6" t="s">
        <v>127</v>
      </c>
      <c r="C4" s="6" t="s">
        <v>757</v>
      </c>
      <c r="D4" s="6" t="s">
        <v>758</v>
      </c>
      <c r="E4" s="6" t="s">
        <v>759</v>
      </c>
      <c r="F4" s="6" t="s">
        <v>760</v>
      </c>
    </row>
    <row r="5" customFormat="false" ht="15" hidden="false" customHeight="false" outlineLevel="0" collapsed="false">
      <c r="A5" s="4" t="s">
        <v>350</v>
      </c>
      <c r="B5" s="4" t="s">
        <v>761</v>
      </c>
      <c r="C5" s="4" t="s">
        <v>762</v>
      </c>
      <c r="D5" s="4" t="s">
        <v>763</v>
      </c>
      <c r="E5" s="4" t="s">
        <v>764</v>
      </c>
      <c r="F5" s="13" t="s">
        <v>30</v>
      </c>
    </row>
    <row r="6" customFormat="false" ht="15" hidden="false" customHeight="false" outlineLevel="0" collapsed="false">
      <c r="A6" s="4" t="s">
        <v>350</v>
      </c>
      <c r="B6" s="4" t="s">
        <v>761</v>
      </c>
      <c r="C6" s="4" t="s">
        <v>765</v>
      </c>
      <c r="D6" s="4" t="s">
        <v>766</v>
      </c>
      <c r="E6" s="4" t="s">
        <v>767</v>
      </c>
      <c r="F6" s="13" t="s">
        <v>30</v>
      </c>
    </row>
    <row r="7" customFormat="false" ht="15" hidden="false" customHeight="false" outlineLevel="0" collapsed="false">
      <c r="A7" s="4" t="s">
        <v>350</v>
      </c>
      <c r="B7" s="4" t="s">
        <v>761</v>
      </c>
      <c r="C7" s="4" t="s">
        <v>768</v>
      </c>
      <c r="D7" s="4" t="s">
        <v>769</v>
      </c>
      <c r="E7" s="4" t="s">
        <v>770</v>
      </c>
      <c r="F7" s="13" t="s">
        <v>30</v>
      </c>
    </row>
    <row r="8" customFormat="false" ht="15" hidden="false" customHeight="false" outlineLevel="0" collapsed="false">
      <c r="A8" s="4" t="s">
        <v>350</v>
      </c>
      <c r="B8" s="4" t="s">
        <v>761</v>
      </c>
      <c r="C8" s="4" t="s">
        <v>771</v>
      </c>
      <c r="D8" s="4" t="s">
        <v>772</v>
      </c>
      <c r="E8" s="4" t="s">
        <v>773</v>
      </c>
      <c r="F8" s="13" t="s">
        <v>30</v>
      </c>
    </row>
    <row r="9" customFormat="false" ht="15" hidden="false" customHeight="false" outlineLevel="0" collapsed="false">
      <c r="A9" s="4" t="s">
        <v>350</v>
      </c>
      <c r="B9" s="4" t="s">
        <v>761</v>
      </c>
      <c r="C9" s="4" t="s">
        <v>774</v>
      </c>
      <c r="D9" s="4" t="s">
        <v>775</v>
      </c>
      <c r="E9" s="4" t="s">
        <v>767</v>
      </c>
      <c r="F9" s="13" t="s">
        <v>30</v>
      </c>
    </row>
    <row r="10" customFormat="false" ht="15" hidden="false" customHeight="false" outlineLevel="0" collapsed="false">
      <c r="A10" s="4" t="s">
        <v>350</v>
      </c>
      <c r="B10" s="4" t="s">
        <v>761</v>
      </c>
      <c r="C10" s="4" t="s">
        <v>776</v>
      </c>
      <c r="D10" s="4" t="s">
        <v>777</v>
      </c>
      <c r="E10" s="4" t="s">
        <v>778</v>
      </c>
      <c r="F10" s="13" t="s">
        <v>30</v>
      </c>
    </row>
    <row r="11" customFormat="false" ht="15" hidden="false" customHeight="false" outlineLevel="0" collapsed="false">
      <c r="A11" s="4" t="s">
        <v>350</v>
      </c>
      <c r="B11" s="4" t="s">
        <v>761</v>
      </c>
      <c r="C11" s="4" t="s">
        <v>779</v>
      </c>
      <c r="D11" s="4" t="s">
        <v>780</v>
      </c>
      <c r="E11" s="4" t="s">
        <v>781</v>
      </c>
      <c r="F11" s="13" t="s">
        <v>30</v>
      </c>
    </row>
    <row r="12" customFormat="false" ht="15" hidden="false" customHeight="false" outlineLevel="0" collapsed="false">
      <c r="A12" s="4" t="s">
        <v>350</v>
      </c>
      <c r="B12" s="4" t="s">
        <v>761</v>
      </c>
      <c r="C12" s="4" t="s">
        <v>782</v>
      </c>
      <c r="D12" s="4" t="s">
        <v>783</v>
      </c>
      <c r="E12" s="4" t="s">
        <v>767</v>
      </c>
      <c r="F12" s="13" t="s">
        <v>30</v>
      </c>
    </row>
    <row r="13" customFormat="false" ht="15" hidden="false" customHeight="false" outlineLevel="0" collapsed="false">
      <c r="A13" s="4" t="s">
        <v>409</v>
      </c>
      <c r="B13" s="4" t="s">
        <v>784</v>
      </c>
      <c r="C13" s="4" t="s">
        <v>785</v>
      </c>
      <c r="D13" s="4" t="s">
        <v>786</v>
      </c>
      <c r="E13" s="4" t="s">
        <v>787</v>
      </c>
      <c r="F13" s="13" t="s">
        <v>30</v>
      </c>
    </row>
    <row r="14" customFormat="false" ht="15" hidden="false" customHeight="false" outlineLevel="0" collapsed="false">
      <c r="A14" s="4" t="s">
        <v>409</v>
      </c>
      <c r="B14" s="4" t="s">
        <v>784</v>
      </c>
      <c r="C14" s="4" t="s">
        <v>788</v>
      </c>
      <c r="D14" s="4" t="s">
        <v>789</v>
      </c>
      <c r="E14" s="4" t="s">
        <v>790</v>
      </c>
      <c r="F14" s="13" t="s">
        <v>30</v>
      </c>
    </row>
    <row r="15" customFormat="false" ht="15" hidden="false" customHeight="false" outlineLevel="0" collapsed="false">
      <c r="A15" s="4" t="s">
        <v>409</v>
      </c>
      <c r="B15" s="4" t="s">
        <v>784</v>
      </c>
      <c r="C15" s="4" t="s">
        <v>791</v>
      </c>
      <c r="D15" s="4" t="s">
        <v>792</v>
      </c>
      <c r="E15" s="4" t="s">
        <v>793</v>
      </c>
      <c r="F15" s="13" t="s">
        <v>30</v>
      </c>
    </row>
    <row r="16" customFormat="false" ht="15" hidden="false" customHeight="false" outlineLevel="0" collapsed="false">
      <c r="A16" s="4" t="s">
        <v>409</v>
      </c>
      <c r="B16" s="4" t="s">
        <v>784</v>
      </c>
      <c r="C16" s="4" t="s">
        <v>794</v>
      </c>
      <c r="D16" s="4" t="s">
        <v>795</v>
      </c>
      <c r="E16" s="4" t="s">
        <v>796</v>
      </c>
      <c r="F16" s="13" t="s">
        <v>30</v>
      </c>
    </row>
    <row r="17" customFormat="false" ht="15" hidden="false" customHeight="false" outlineLevel="0" collapsed="false">
      <c r="A17" s="4" t="s">
        <v>545</v>
      </c>
      <c r="B17" s="4" t="s">
        <v>797</v>
      </c>
      <c r="C17" s="4" t="s">
        <v>798</v>
      </c>
      <c r="D17" s="4" t="s">
        <v>799</v>
      </c>
      <c r="E17" s="4" t="s">
        <v>800</v>
      </c>
      <c r="F17" s="13" t="s">
        <v>34</v>
      </c>
    </row>
    <row r="18" customFormat="false" ht="15" hidden="false" customHeight="false" outlineLevel="0" collapsed="false">
      <c r="A18" s="4" t="s">
        <v>545</v>
      </c>
      <c r="B18" s="4" t="s">
        <v>797</v>
      </c>
      <c r="C18" s="4" t="s">
        <v>801</v>
      </c>
      <c r="D18" s="4" t="s">
        <v>802</v>
      </c>
      <c r="E18" s="4" t="s">
        <v>803</v>
      </c>
      <c r="F18" s="13" t="s">
        <v>34</v>
      </c>
    </row>
    <row r="19" customFormat="false" ht="15" hidden="false" customHeight="false" outlineLevel="0" collapsed="false">
      <c r="A19" s="4" t="s">
        <v>545</v>
      </c>
      <c r="B19" s="4" t="s">
        <v>797</v>
      </c>
      <c r="C19" s="4" t="s">
        <v>804</v>
      </c>
      <c r="D19" s="4" t="s">
        <v>805</v>
      </c>
      <c r="E19" s="4" t="s">
        <v>806</v>
      </c>
      <c r="F19" s="13" t="s">
        <v>34</v>
      </c>
    </row>
    <row r="20" customFormat="false" ht="23.85" hidden="false" customHeight="false" outlineLevel="0" collapsed="false">
      <c r="A20" s="4" t="s">
        <v>545</v>
      </c>
      <c r="B20" s="4" t="s">
        <v>797</v>
      </c>
      <c r="C20" s="4" t="s">
        <v>807</v>
      </c>
      <c r="D20" s="4" t="s">
        <v>808</v>
      </c>
      <c r="E20" s="4" t="s">
        <v>809</v>
      </c>
      <c r="F20" s="13" t="s">
        <v>34</v>
      </c>
    </row>
    <row r="21" customFormat="false" ht="15" hidden="false" customHeight="false" outlineLevel="0" collapsed="false">
      <c r="A21" s="4" t="s">
        <v>545</v>
      </c>
      <c r="B21" s="4" t="s">
        <v>797</v>
      </c>
      <c r="C21" s="4" t="s">
        <v>810</v>
      </c>
      <c r="D21" s="4" t="s">
        <v>811</v>
      </c>
      <c r="E21" s="4" t="s">
        <v>812</v>
      </c>
      <c r="F21" s="13" t="s">
        <v>34</v>
      </c>
    </row>
    <row r="22" customFormat="false" ht="15" hidden="false" customHeight="false" outlineLevel="0" collapsed="false">
      <c r="A22" s="4" t="s">
        <v>545</v>
      </c>
      <c r="B22" s="4" t="s">
        <v>797</v>
      </c>
      <c r="C22" s="4" t="s">
        <v>813</v>
      </c>
      <c r="D22" s="4" t="s">
        <v>814</v>
      </c>
      <c r="E22" s="4" t="s">
        <v>815</v>
      </c>
      <c r="F22" s="13" t="s">
        <v>34</v>
      </c>
    </row>
    <row r="23" customFormat="false" ht="15" hidden="false" customHeight="false" outlineLevel="0" collapsed="false">
      <c r="A23" s="4" t="s">
        <v>545</v>
      </c>
      <c r="B23" s="4" t="s">
        <v>797</v>
      </c>
      <c r="C23" s="4" t="s">
        <v>816</v>
      </c>
      <c r="D23" s="4" t="s">
        <v>817</v>
      </c>
      <c r="E23" s="4" t="s">
        <v>818</v>
      </c>
      <c r="F23" s="13" t="s">
        <v>34</v>
      </c>
    </row>
    <row r="24" customFormat="false" ht="15" hidden="false" customHeight="false" outlineLevel="0" collapsed="false">
      <c r="A24" s="4" t="s">
        <v>545</v>
      </c>
      <c r="B24" s="4" t="s">
        <v>797</v>
      </c>
      <c r="C24" s="4" t="s">
        <v>819</v>
      </c>
      <c r="D24" s="4" t="s">
        <v>820</v>
      </c>
      <c r="E24" s="4" t="s">
        <v>821</v>
      </c>
      <c r="F24" s="13" t="s">
        <v>34</v>
      </c>
    </row>
    <row r="25" customFormat="false" ht="15" hidden="false" customHeight="false" outlineLevel="0" collapsed="false">
      <c r="A25" s="4" t="s">
        <v>545</v>
      </c>
      <c r="B25" s="4" t="s">
        <v>797</v>
      </c>
      <c r="C25" s="4" t="s">
        <v>822</v>
      </c>
      <c r="D25" s="4" t="s">
        <v>823</v>
      </c>
      <c r="E25" s="4" t="s">
        <v>767</v>
      </c>
      <c r="F25" s="13" t="s">
        <v>34</v>
      </c>
    </row>
    <row r="26" customFormat="false" ht="15" hidden="false" customHeight="false" outlineLevel="0" collapsed="false">
      <c r="A26" s="4" t="s">
        <v>478</v>
      </c>
      <c r="B26" s="4" t="s">
        <v>824</v>
      </c>
      <c r="C26" s="4" t="s">
        <v>825</v>
      </c>
      <c r="D26" s="4" t="s">
        <v>826</v>
      </c>
      <c r="E26" s="4" t="s">
        <v>767</v>
      </c>
      <c r="F26" s="13" t="s">
        <v>34</v>
      </c>
    </row>
    <row r="27" customFormat="false" ht="15" hidden="false" customHeight="false" outlineLevel="0" collapsed="false">
      <c r="A27" s="4" t="s">
        <v>478</v>
      </c>
      <c r="B27" s="4" t="s">
        <v>824</v>
      </c>
      <c r="C27" s="4" t="s">
        <v>827</v>
      </c>
      <c r="D27" s="4" t="s">
        <v>828</v>
      </c>
      <c r="E27" s="4" t="s">
        <v>829</v>
      </c>
      <c r="F27" s="13" t="s">
        <v>34</v>
      </c>
    </row>
    <row r="28" customFormat="false" ht="15" hidden="false" customHeight="false" outlineLevel="0" collapsed="false">
      <c r="A28" s="4" t="s">
        <v>478</v>
      </c>
      <c r="B28" s="4" t="s">
        <v>824</v>
      </c>
      <c r="C28" s="4" t="s">
        <v>830</v>
      </c>
      <c r="D28" s="4" t="s">
        <v>831</v>
      </c>
      <c r="E28" s="4" t="s">
        <v>832</v>
      </c>
      <c r="F28" s="13" t="s">
        <v>34</v>
      </c>
    </row>
    <row r="29" customFormat="false" ht="15" hidden="false" customHeight="false" outlineLevel="0" collapsed="false">
      <c r="A29" s="4" t="s">
        <v>478</v>
      </c>
      <c r="B29" s="4" t="s">
        <v>824</v>
      </c>
      <c r="C29" s="4" t="s">
        <v>833</v>
      </c>
      <c r="D29" s="4" t="s">
        <v>834</v>
      </c>
      <c r="E29" s="4" t="s">
        <v>835</v>
      </c>
      <c r="F29" s="13" t="s">
        <v>34</v>
      </c>
    </row>
    <row r="30" customFormat="false" ht="15" hidden="false" customHeight="false" outlineLevel="0" collapsed="false">
      <c r="A30" s="4" t="s">
        <v>478</v>
      </c>
      <c r="B30" s="4" t="s">
        <v>824</v>
      </c>
      <c r="C30" s="4" t="s">
        <v>836</v>
      </c>
      <c r="D30" s="4" t="s">
        <v>837</v>
      </c>
      <c r="E30" s="4" t="s">
        <v>835</v>
      </c>
      <c r="F30" s="13" t="s">
        <v>34</v>
      </c>
    </row>
    <row r="31" customFormat="false" ht="15" hidden="false" customHeight="false" outlineLevel="0" collapsed="false">
      <c r="A31" s="4" t="s">
        <v>478</v>
      </c>
      <c r="B31" s="4" t="s">
        <v>824</v>
      </c>
      <c r="C31" s="4" t="s">
        <v>838</v>
      </c>
      <c r="D31" s="4" t="s">
        <v>839</v>
      </c>
      <c r="E31" s="4" t="s">
        <v>840</v>
      </c>
      <c r="F31" s="13" t="s">
        <v>34</v>
      </c>
    </row>
    <row r="32" customFormat="false" ht="15" hidden="false" customHeight="false" outlineLevel="0" collapsed="false">
      <c r="A32" s="4" t="s">
        <v>478</v>
      </c>
      <c r="B32" s="4" t="s">
        <v>824</v>
      </c>
      <c r="C32" s="4" t="s">
        <v>841</v>
      </c>
      <c r="D32" s="4" t="s">
        <v>842</v>
      </c>
      <c r="E32" s="4" t="s">
        <v>843</v>
      </c>
      <c r="F32" s="13" t="s">
        <v>34</v>
      </c>
    </row>
    <row r="33" customFormat="false" ht="15" hidden="false" customHeight="false" outlineLevel="0" collapsed="false">
      <c r="A33" s="4" t="s">
        <v>478</v>
      </c>
      <c r="B33" s="4" t="s">
        <v>824</v>
      </c>
      <c r="C33" s="4" t="s">
        <v>844</v>
      </c>
      <c r="D33" s="4" t="s">
        <v>845</v>
      </c>
      <c r="E33" s="4" t="s">
        <v>846</v>
      </c>
      <c r="F33" s="13" t="s">
        <v>34</v>
      </c>
    </row>
    <row r="34" customFormat="false" ht="15" hidden="false" customHeight="false" outlineLevel="0" collapsed="false">
      <c r="A34" s="4" t="s">
        <v>478</v>
      </c>
      <c r="B34" s="4" t="s">
        <v>824</v>
      </c>
      <c r="C34" s="4" t="s">
        <v>847</v>
      </c>
      <c r="D34" s="4" t="s">
        <v>848</v>
      </c>
      <c r="E34" s="4" t="s">
        <v>849</v>
      </c>
      <c r="F34" s="13" t="s">
        <v>34</v>
      </c>
    </row>
    <row r="35" customFormat="false" ht="15" hidden="false" customHeight="false" outlineLevel="0" collapsed="false">
      <c r="A35" s="4" t="s">
        <v>478</v>
      </c>
      <c r="B35" s="4" t="s">
        <v>824</v>
      </c>
      <c r="C35" s="4" t="s">
        <v>850</v>
      </c>
      <c r="D35" s="4" t="s">
        <v>851</v>
      </c>
      <c r="E35" s="4" t="s">
        <v>767</v>
      </c>
      <c r="F35" s="13" t="s">
        <v>34</v>
      </c>
    </row>
    <row r="36" customFormat="false" ht="15" hidden="false" customHeight="false" outlineLevel="0" collapsed="false">
      <c r="A36" s="4" t="s">
        <v>461</v>
      </c>
      <c r="B36" s="4" t="s">
        <v>852</v>
      </c>
      <c r="C36" s="4" t="s">
        <v>853</v>
      </c>
      <c r="D36" s="4" t="s">
        <v>854</v>
      </c>
      <c r="E36" s="4" t="s">
        <v>855</v>
      </c>
      <c r="F36" s="13" t="s">
        <v>30</v>
      </c>
    </row>
    <row r="37" customFormat="false" ht="15" hidden="false" customHeight="false" outlineLevel="0" collapsed="false">
      <c r="A37" s="4" t="s">
        <v>461</v>
      </c>
      <c r="B37" s="4" t="s">
        <v>852</v>
      </c>
      <c r="C37" s="4" t="s">
        <v>856</v>
      </c>
      <c r="D37" s="4" t="s">
        <v>857</v>
      </c>
      <c r="E37" s="4" t="s">
        <v>858</v>
      </c>
      <c r="F37" s="13" t="s">
        <v>30</v>
      </c>
    </row>
    <row r="38" customFormat="false" ht="15" hidden="false" customHeight="false" outlineLevel="0" collapsed="false">
      <c r="A38" s="4" t="s">
        <v>461</v>
      </c>
      <c r="B38" s="4" t="s">
        <v>852</v>
      </c>
      <c r="C38" s="4" t="s">
        <v>859</v>
      </c>
      <c r="D38" s="4" t="s">
        <v>860</v>
      </c>
      <c r="E38" s="4" t="s">
        <v>861</v>
      </c>
      <c r="F38" s="13" t="s">
        <v>30</v>
      </c>
    </row>
    <row r="39" customFormat="false" ht="15" hidden="false" customHeight="false" outlineLevel="0" collapsed="false">
      <c r="A39" s="4" t="s">
        <v>461</v>
      </c>
      <c r="B39" s="4" t="s">
        <v>852</v>
      </c>
      <c r="C39" s="4" t="s">
        <v>862</v>
      </c>
      <c r="D39" s="4" t="s">
        <v>863</v>
      </c>
      <c r="E39" s="4" t="s">
        <v>767</v>
      </c>
      <c r="F39" s="13" t="s">
        <v>30</v>
      </c>
    </row>
    <row r="40" customFormat="false" ht="15" hidden="false" customHeight="false" outlineLevel="0" collapsed="false">
      <c r="A40" s="4" t="s">
        <v>461</v>
      </c>
      <c r="B40" s="4" t="s">
        <v>852</v>
      </c>
      <c r="C40" s="4" t="s">
        <v>864</v>
      </c>
      <c r="D40" s="4" t="s">
        <v>865</v>
      </c>
      <c r="E40" s="4" t="s">
        <v>866</v>
      </c>
      <c r="F40" s="13" t="s">
        <v>30</v>
      </c>
    </row>
    <row r="41" customFormat="false" ht="15" hidden="false" customHeight="false" outlineLevel="0" collapsed="false">
      <c r="A41" s="4" t="s">
        <v>461</v>
      </c>
      <c r="B41" s="4" t="s">
        <v>852</v>
      </c>
      <c r="C41" s="4" t="s">
        <v>867</v>
      </c>
      <c r="D41" s="4" t="s">
        <v>868</v>
      </c>
      <c r="E41" s="4" t="s">
        <v>767</v>
      </c>
      <c r="F41" s="13" t="s">
        <v>30</v>
      </c>
    </row>
    <row r="42" customFormat="false" ht="15" hidden="false" customHeight="false" outlineLevel="0" collapsed="false">
      <c r="A42" s="4" t="s">
        <v>461</v>
      </c>
      <c r="B42" s="4" t="s">
        <v>852</v>
      </c>
      <c r="C42" s="4" t="s">
        <v>869</v>
      </c>
      <c r="D42" s="4" t="s">
        <v>528</v>
      </c>
      <c r="E42" s="4" t="s">
        <v>870</v>
      </c>
      <c r="F42" s="13" t="s">
        <v>30</v>
      </c>
    </row>
    <row r="43" customFormat="false" ht="15" hidden="false" customHeight="false" outlineLevel="0" collapsed="false">
      <c r="A43" s="4" t="s">
        <v>461</v>
      </c>
      <c r="B43" s="4" t="s">
        <v>852</v>
      </c>
      <c r="C43" s="4" t="s">
        <v>871</v>
      </c>
      <c r="D43" s="4" t="s">
        <v>872</v>
      </c>
      <c r="E43" s="4" t="s">
        <v>767</v>
      </c>
      <c r="F43" s="13" t="s">
        <v>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3" min="3" style="0" width="70"/>
    <col collapsed="false" customWidth="true" hidden="false" outlineLevel="0" max="4" min="4" style="0" width="20"/>
    <col collapsed="false" customWidth="true" hidden="false" outlineLevel="0" max="6" min="5" style="0" width="9"/>
    <col collapsed="false" customWidth="true" hidden="false" outlineLevel="0" max="7" min="7" style="0" width="8"/>
    <col collapsed="false" customWidth="true" hidden="false" outlineLevel="0" max="8" min="8" style="0" width="25"/>
    <col collapsed="false" customWidth="true" hidden="false" outlineLevel="0" max="10" min="9" style="0" width="14"/>
  </cols>
  <sheetData>
    <row r="1" customFormat="false" ht="17.35" hidden="false" customHeight="false" outlineLevel="0" collapsed="false">
      <c r="A1" s="1" t="s">
        <v>873</v>
      </c>
    </row>
    <row r="2" customFormat="false" ht="15" hidden="false" customHeight="false" outlineLevel="0" collapsed="false">
      <c r="A2" s="2" t="s">
        <v>874</v>
      </c>
    </row>
    <row r="4" customFormat="false" ht="23.85" hidden="false" customHeight="false" outlineLevel="0" collapsed="false">
      <c r="A4" s="6" t="s">
        <v>341</v>
      </c>
      <c r="B4" s="6" t="s">
        <v>875</v>
      </c>
      <c r="C4" s="6" t="s">
        <v>876</v>
      </c>
      <c r="D4" s="6" t="s">
        <v>877</v>
      </c>
      <c r="E4" s="6" t="s">
        <v>878</v>
      </c>
      <c r="F4" s="6" t="s">
        <v>879</v>
      </c>
      <c r="G4" s="6" t="s">
        <v>101</v>
      </c>
      <c r="H4" s="6" t="s">
        <v>880</v>
      </c>
      <c r="I4" s="6" t="s">
        <v>881</v>
      </c>
      <c r="J4" s="6" t="s">
        <v>882</v>
      </c>
    </row>
    <row r="5" customFormat="false" ht="15" hidden="false" customHeight="false" outlineLevel="0" collapsed="false">
      <c r="A5" s="13" t="n">
        <v>1</v>
      </c>
      <c r="B5" s="4" t="s">
        <v>883</v>
      </c>
      <c r="C5" s="4" t="s">
        <v>884</v>
      </c>
      <c r="D5" s="4" t="s">
        <v>885</v>
      </c>
      <c r="E5" s="13" t="s">
        <v>324</v>
      </c>
      <c r="F5" s="13" t="s">
        <v>886</v>
      </c>
      <c r="G5" s="13" t="s">
        <v>119</v>
      </c>
      <c r="H5" s="8"/>
      <c r="I5" s="15" t="s">
        <v>356</v>
      </c>
      <c r="J5" s="15" t="s">
        <v>356</v>
      </c>
    </row>
    <row r="6" customFormat="false" ht="15" hidden="false" customHeight="false" outlineLevel="0" collapsed="false">
      <c r="A6" s="13" t="n">
        <v>2</v>
      </c>
      <c r="B6" s="4" t="s">
        <v>883</v>
      </c>
      <c r="C6" s="4" t="s">
        <v>887</v>
      </c>
      <c r="D6" s="4" t="s">
        <v>885</v>
      </c>
      <c r="E6" s="13" t="s">
        <v>324</v>
      </c>
      <c r="F6" s="13" t="s">
        <v>886</v>
      </c>
      <c r="G6" s="13" t="s">
        <v>119</v>
      </c>
      <c r="H6" s="8"/>
      <c r="I6" s="15" t="s">
        <v>356</v>
      </c>
      <c r="J6" s="15" t="s">
        <v>356</v>
      </c>
    </row>
    <row r="7" customFormat="false" ht="15" hidden="false" customHeight="false" outlineLevel="0" collapsed="false">
      <c r="A7" s="13" t="n">
        <v>3</v>
      </c>
      <c r="B7" s="4" t="s">
        <v>883</v>
      </c>
      <c r="C7" s="4" t="s">
        <v>888</v>
      </c>
      <c r="D7" s="4" t="s">
        <v>885</v>
      </c>
      <c r="E7" s="13" t="s">
        <v>325</v>
      </c>
      <c r="F7" s="13" t="s">
        <v>325</v>
      </c>
      <c r="G7" s="13" t="s">
        <v>119</v>
      </c>
      <c r="H7" s="8"/>
      <c r="I7" s="15" t="s">
        <v>356</v>
      </c>
      <c r="J7" s="15" t="s">
        <v>356</v>
      </c>
    </row>
    <row r="8" customFormat="false" ht="15" hidden="false" customHeight="false" outlineLevel="0" collapsed="false">
      <c r="A8" s="13" t="n">
        <v>4</v>
      </c>
      <c r="B8" s="4" t="s">
        <v>889</v>
      </c>
      <c r="C8" s="4" t="s">
        <v>890</v>
      </c>
      <c r="D8" s="4" t="s">
        <v>885</v>
      </c>
      <c r="E8" s="13" t="s">
        <v>325</v>
      </c>
      <c r="F8" s="13" t="s">
        <v>326</v>
      </c>
      <c r="G8" s="13" t="s">
        <v>119</v>
      </c>
      <c r="H8" s="8"/>
      <c r="I8" s="15" t="s">
        <v>356</v>
      </c>
      <c r="J8" s="15" t="s">
        <v>356</v>
      </c>
    </row>
    <row r="9" customFormat="false" ht="15" hidden="false" customHeight="false" outlineLevel="0" collapsed="false">
      <c r="A9" s="13" t="n">
        <v>5</v>
      </c>
      <c r="B9" s="4" t="s">
        <v>889</v>
      </c>
      <c r="C9" s="4" t="s">
        <v>891</v>
      </c>
      <c r="D9" s="4" t="s">
        <v>885</v>
      </c>
      <c r="E9" s="13" t="s">
        <v>325</v>
      </c>
      <c r="F9" s="13" t="s">
        <v>326</v>
      </c>
      <c r="G9" s="13" t="s">
        <v>119</v>
      </c>
      <c r="H9" s="8"/>
      <c r="I9" s="15" t="s">
        <v>356</v>
      </c>
      <c r="J9" s="15" t="s">
        <v>356</v>
      </c>
    </row>
    <row r="10" customFormat="false" ht="15" hidden="false" customHeight="false" outlineLevel="0" collapsed="false">
      <c r="A10" s="13" t="n">
        <v>6</v>
      </c>
      <c r="B10" s="4" t="s">
        <v>892</v>
      </c>
      <c r="C10" s="4" t="s">
        <v>893</v>
      </c>
      <c r="D10" s="4" t="s">
        <v>885</v>
      </c>
      <c r="E10" s="13" t="s">
        <v>325</v>
      </c>
      <c r="F10" s="13" t="s">
        <v>325</v>
      </c>
      <c r="G10" s="13" t="s">
        <v>119</v>
      </c>
      <c r="H10" s="8"/>
      <c r="I10" s="15" t="s">
        <v>356</v>
      </c>
      <c r="J10" s="15" t="s">
        <v>356</v>
      </c>
    </row>
    <row r="11" customFormat="false" ht="15" hidden="false" customHeight="false" outlineLevel="0" collapsed="false">
      <c r="A11" s="13" t="n">
        <v>7</v>
      </c>
      <c r="B11" s="4" t="s">
        <v>522</v>
      </c>
      <c r="C11" s="4" t="s">
        <v>894</v>
      </c>
      <c r="D11" s="4" t="s">
        <v>885</v>
      </c>
      <c r="E11" s="13" t="s">
        <v>325</v>
      </c>
      <c r="F11" s="13" t="s">
        <v>331</v>
      </c>
      <c r="G11" s="13" t="s">
        <v>119</v>
      </c>
      <c r="H11" s="8"/>
      <c r="I11" s="15" t="s">
        <v>356</v>
      </c>
      <c r="J11" s="15" t="s">
        <v>356</v>
      </c>
    </row>
    <row r="12" customFormat="false" ht="15" hidden="false" customHeight="false" outlineLevel="0" collapsed="false">
      <c r="A12" s="13" t="n">
        <v>8</v>
      </c>
      <c r="B12" s="4" t="s">
        <v>895</v>
      </c>
      <c r="C12" s="4" t="s">
        <v>896</v>
      </c>
      <c r="D12" s="4" t="s">
        <v>885</v>
      </c>
      <c r="E12" s="13" t="s">
        <v>326</v>
      </c>
      <c r="F12" s="13" t="s">
        <v>327</v>
      </c>
      <c r="G12" s="13" t="s">
        <v>119</v>
      </c>
      <c r="H12" s="8"/>
      <c r="I12" s="15" t="s">
        <v>356</v>
      </c>
      <c r="J12" s="15" t="s">
        <v>356</v>
      </c>
    </row>
    <row r="13" customFormat="false" ht="15" hidden="false" customHeight="false" outlineLevel="0" collapsed="false">
      <c r="A13" s="13" t="n">
        <v>9</v>
      </c>
      <c r="B13" s="4" t="s">
        <v>895</v>
      </c>
      <c r="C13" s="4" t="s">
        <v>786</v>
      </c>
      <c r="D13" s="4" t="s">
        <v>897</v>
      </c>
      <c r="E13" s="13" t="s">
        <v>326</v>
      </c>
      <c r="F13" s="13" t="s">
        <v>327</v>
      </c>
      <c r="G13" s="13" t="s">
        <v>179</v>
      </c>
      <c r="H13" s="8"/>
      <c r="I13" s="15" t="s">
        <v>356</v>
      </c>
      <c r="J13" s="15" t="s">
        <v>356</v>
      </c>
    </row>
    <row r="14" customFormat="false" ht="15" hidden="false" customHeight="false" outlineLevel="0" collapsed="false">
      <c r="A14" s="13" t="n">
        <v>10</v>
      </c>
      <c r="B14" s="4" t="s">
        <v>895</v>
      </c>
      <c r="C14" s="4" t="s">
        <v>898</v>
      </c>
      <c r="D14" s="4" t="s">
        <v>899</v>
      </c>
      <c r="E14" s="13" t="s">
        <v>326</v>
      </c>
      <c r="F14" s="13" t="s">
        <v>327</v>
      </c>
      <c r="G14" s="13" t="s">
        <v>119</v>
      </c>
      <c r="H14" s="8"/>
      <c r="I14" s="15" t="s">
        <v>356</v>
      </c>
      <c r="J14" s="15" t="s">
        <v>356</v>
      </c>
    </row>
    <row r="15" customFormat="false" ht="15" hidden="false" customHeight="false" outlineLevel="0" collapsed="false">
      <c r="A15" s="13" t="n">
        <v>11</v>
      </c>
      <c r="B15" s="4" t="s">
        <v>895</v>
      </c>
      <c r="C15" s="4" t="s">
        <v>900</v>
      </c>
      <c r="D15" s="4" t="s">
        <v>901</v>
      </c>
      <c r="E15" s="13" t="s">
        <v>326</v>
      </c>
      <c r="F15" s="13" t="s">
        <v>327</v>
      </c>
      <c r="G15" s="13" t="s">
        <v>119</v>
      </c>
      <c r="H15" s="8"/>
      <c r="I15" s="15" t="s">
        <v>356</v>
      </c>
      <c r="J15" s="15" t="s">
        <v>356</v>
      </c>
    </row>
    <row r="16" customFormat="false" ht="15" hidden="false" customHeight="false" outlineLevel="0" collapsed="false">
      <c r="A16" s="13" t="n">
        <v>12</v>
      </c>
      <c r="B16" s="4" t="s">
        <v>902</v>
      </c>
      <c r="C16" s="4" t="s">
        <v>903</v>
      </c>
      <c r="D16" s="4" t="s">
        <v>904</v>
      </c>
      <c r="E16" s="13" t="s">
        <v>326</v>
      </c>
      <c r="F16" s="13" t="s">
        <v>328</v>
      </c>
      <c r="G16" s="13" t="s">
        <v>119</v>
      </c>
      <c r="H16" s="8"/>
      <c r="I16" s="15" t="s">
        <v>356</v>
      </c>
      <c r="J16" s="15" t="s">
        <v>356</v>
      </c>
    </row>
    <row r="17" customFormat="false" ht="15" hidden="false" customHeight="false" outlineLevel="0" collapsed="false">
      <c r="A17" s="13" t="n">
        <v>13</v>
      </c>
      <c r="B17" s="4" t="s">
        <v>902</v>
      </c>
      <c r="C17" s="4" t="s">
        <v>905</v>
      </c>
      <c r="D17" s="4" t="s">
        <v>904</v>
      </c>
      <c r="E17" s="13" t="s">
        <v>326</v>
      </c>
      <c r="F17" s="13" t="s">
        <v>328</v>
      </c>
      <c r="G17" s="13" t="s">
        <v>119</v>
      </c>
      <c r="H17" s="8"/>
      <c r="I17" s="15" t="s">
        <v>356</v>
      </c>
      <c r="J17" s="15" t="s">
        <v>356</v>
      </c>
    </row>
    <row r="18" customFormat="false" ht="15" hidden="false" customHeight="false" outlineLevel="0" collapsed="false">
      <c r="A18" s="13" t="n">
        <v>14</v>
      </c>
      <c r="B18" s="4" t="s">
        <v>902</v>
      </c>
      <c r="C18" s="4" t="s">
        <v>906</v>
      </c>
      <c r="D18" s="4" t="s">
        <v>904</v>
      </c>
      <c r="E18" s="13" t="s">
        <v>326</v>
      </c>
      <c r="F18" s="13" t="s">
        <v>331</v>
      </c>
      <c r="G18" s="13" t="s">
        <v>179</v>
      </c>
      <c r="H18" s="8"/>
      <c r="I18" s="15" t="s">
        <v>356</v>
      </c>
      <c r="J18" s="15" t="s">
        <v>356</v>
      </c>
    </row>
    <row r="19" customFormat="false" ht="15" hidden="false" customHeight="false" outlineLevel="0" collapsed="false">
      <c r="A19" s="13" t="n">
        <v>15</v>
      </c>
      <c r="B19" s="4" t="s">
        <v>907</v>
      </c>
      <c r="C19" s="4" t="s">
        <v>908</v>
      </c>
      <c r="D19" s="4" t="s">
        <v>909</v>
      </c>
      <c r="E19" s="13" t="s">
        <v>326</v>
      </c>
      <c r="F19" s="13" t="s">
        <v>328</v>
      </c>
      <c r="G19" s="13" t="s">
        <v>119</v>
      </c>
      <c r="H19" s="8"/>
      <c r="I19" s="15" t="s">
        <v>356</v>
      </c>
      <c r="J19" s="15" t="s">
        <v>356</v>
      </c>
    </row>
    <row r="20" customFormat="false" ht="23.85" hidden="false" customHeight="false" outlineLevel="0" collapsed="false">
      <c r="A20" s="13" t="n">
        <v>16</v>
      </c>
      <c r="B20" s="4" t="s">
        <v>907</v>
      </c>
      <c r="C20" s="4" t="s">
        <v>910</v>
      </c>
      <c r="D20" s="4" t="s">
        <v>911</v>
      </c>
      <c r="E20" s="13" t="s">
        <v>326</v>
      </c>
      <c r="F20" s="13" t="s">
        <v>329</v>
      </c>
      <c r="G20" s="13" t="s">
        <v>119</v>
      </c>
      <c r="H20" s="8"/>
      <c r="I20" s="15" t="s">
        <v>356</v>
      </c>
      <c r="J20" s="15" t="s">
        <v>356</v>
      </c>
    </row>
    <row r="21" customFormat="false" ht="15" hidden="false" customHeight="false" outlineLevel="0" collapsed="false">
      <c r="A21" s="13" t="n">
        <v>17</v>
      </c>
      <c r="B21" s="4" t="s">
        <v>907</v>
      </c>
      <c r="C21" s="4" t="s">
        <v>912</v>
      </c>
      <c r="D21" s="4" t="s">
        <v>913</v>
      </c>
      <c r="E21" s="13" t="s">
        <v>326</v>
      </c>
      <c r="F21" s="13" t="s">
        <v>329</v>
      </c>
      <c r="G21" s="13" t="s">
        <v>119</v>
      </c>
      <c r="H21" s="8"/>
      <c r="I21" s="15" t="s">
        <v>356</v>
      </c>
      <c r="J21" s="15" t="s">
        <v>356</v>
      </c>
    </row>
    <row r="22" customFormat="false" ht="15" hidden="false" customHeight="false" outlineLevel="0" collapsed="false">
      <c r="A22" s="13" t="n">
        <v>18</v>
      </c>
      <c r="B22" s="4" t="s">
        <v>907</v>
      </c>
      <c r="C22" s="4" t="s">
        <v>914</v>
      </c>
      <c r="D22" s="4" t="s">
        <v>915</v>
      </c>
      <c r="E22" s="13" t="s">
        <v>327</v>
      </c>
      <c r="F22" s="13" t="s">
        <v>330</v>
      </c>
      <c r="G22" s="13" t="s">
        <v>119</v>
      </c>
      <c r="H22" s="8"/>
      <c r="I22" s="15" t="s">
        <v>356</v>
      </c>
      <c r="J22" s="15" t="s">
        <v>356</v>
      </c>
    </row>
    <row r="23" customFormat="false" ht="15" hidden="false" customHeight="false" outlineLevel="0" collapsed="false">
      <c r="A23" s="13" t="n">
        <v>19</v>
      </c>
      <c r="B23" s="4" t="s">
        <v>907</v>
      </c>
      <c r="C23" s="4" t="s">
        <v>916</v>
      </c>
      <c r="D23" s="4" t="s">
        <v>915</v>
      </c>
      <c r="E23" s="13" t="s">
        <v>327</v>
      </c>
      <c r="F23" s="13" t="s">
        <v>330</v>
      </c>
      <c r="G23" s="13" t="s">
        <v>119</v>
      </c>
      <c r="H23" s="8"/>
      <c r="I23" s="15" t="s">
        <v>356</v>
      </c>
      <c r="J23" s="15" t="s">
        <v>356</v>
      </c>
    </row>
    <row r="24" customFormat="false" ht="15" hidden="false" customHeight="false" outlineLevel="0" collapsed="false">
      <c r="A24" s="13" t="n">
        <v>20</v>
      </c>
      <c r="B24" s="4" t="s">
        <v>907</v>
      </c>
      <c r="C24" s="4" t="s">
        <v>917</v>
      </c>
      <c r="D24" s="4" t="s">
        <v>911</v>
      </c>
      <c r="E24" s="13" t="s">
        <v>327</v>
      </c>
      <c r="F24" s="13" t="s">
        <v>330</v>
      </c>
      <c r="G24" s="13" t="s">
        <v>119</v>
      </c>
      <c r="H24" s="8"/>
      <c r="I24" s="15" t="s">
        <v>356</v>
      </c>
      <c r="J24" s="15" t="s">
        <v>356</v>
      </c>
    </row>
    <row r="25" customFormat="false" ht="15" hidden="false" customHeight="false" outlineLevel="0" collapsed="false">
      <c r="A25" s="13" t="n">
        <v>21</v>
      </c>
      <c r="B25" s="4" t="s">
        <v>907</v>
      </c>
      <c r="C25" s="4" t="s">
        <v>918</v>
      </c>
      <c r="D25" s="4" t="s">
        <v>911</v>
      </c>
      <c r="E25" s="13" t="s">
        <v>327</v>
      </c>
      <c r="F25" s="13" t="s">
        <v>331</v>
      </c>
      <c r="G25" s="13" t="s">
        <v>119</v>
      </c>
      <c r="H25" s="8"/>
      <c r="I25" s="15" t="s">
        <v>356</v>
      </c>
      <c r="J25" s="15" t="s">
        <v>356</v>
      </c>
    </row>
    <row r="26" customFormat="false" ht="15" hidden="false" customHeight="false" outlineLevel="0" collapsed="false">
      <c r="A26" s="13" t="n">
        <v>22</v>
      </c>
      <c r="B26" s="4" t="s">
        <v>907</v>
      </c>
      <c r="C26" s="4" t="s">
        <v>919</v>
      </c>
      <c r="D26" s="4" t="s">
        <v>915</v>
      </c>
      <c r="E26" s="13" t="s">
        <v>327</v>
      </c>
      <c r="F26" s="13" t="s">
        <v>331</v>
      </c>
      <c r="G26" s="13" t="s">
        <v>119</v>
      </c>
      <c r="H26" s="8"/>
      <c r="I26" s="15" t="s">
        <v>356</v>
      </c>
      <c r="J26" s="15" t="s">
        <v>356</v>
      </c>
    </row>
    <row r="27" customFormat="false" ht="15" hidden="false" customHeight="false" outlineLevel="0" collapsed="false">
      <c r="A27" s="13" t="n">
        <v>23</v>
      </c>
      <c r="B27" s="4" t="s">
        <v>907</v>
      </c>
      <c r="C27" s="4" t="s">
        <v>920</v>
      </c>
      <c r="D27" s="4" t="s">
        <v>921</v>
      </c>
      <c r="E27" s="13" t="s">
        <v>327</v>
      </c>
      <c r="F27" s="13" t="s">
        <v>329</v>
      </c>
      <c r="G27" s="13" t="s">
        <v>179</v>
      </c>
      <c r="H27" s="8"/>
      <c r="I27" s="15" t="s">
        <v>356</v>
      </c>
      <c r="J27" s="15" t="s">
        <v>356</v>
      </c>
    </row>
    <row r="28" customFormat="false" ht="23.85" hidden="false" customHeight="false" outlineLevel="0" collapsed="false">
      <c r="A28" s="13" t="n">
        <v>24</v>
      </c>
      <c r="B28" s="4" t="s">
        <v>499</v>
      </c>
      <c r="C28" s="4" t="s">
        <v>922</v>
      </c>
      <c r="D28" s="4" t="s">
        <v>923</v>
      </c>
      <c r="E28" s="13" t="s">
        <v>327</v>
      </c>
      <c r="F28" s="13" t="s">
        <v>331</v>
      </c>
      <c r="G28" s="13" t="s">
        <v>119</v>
      </c>
      <c r="H28" s="8"/>
      <c r="I28" s="15" t="s">
        <v>356</v>
      </c>
      <c r="J28" s="15" t="s">
        <v>356</v>
      </c>
    </row>
    <row r="29" customFormat="false" ht="15" hidden="false" customHeight="false" outlineLevel="0" collapsed="false">
      <c r="A29" s="13" t="n">
        <v>25</v>
      </c>
      <c r="B29" s="4" t="s">
        <v>499</v>
      </c>
      <c r="C29" s="4" t="s">
        <v>924</v>
      </c>
      <c r="D29" s="4" t="s">
        <v>885</v>
      </c>
      <c r="E29" s="13" t="s">
        <v>327</v>
      </c>
      <c r="F29" s="13" t="s">
        <v>331</v>
      </c>
      <c r="G29" s="13" t="s">
        <v>119</v>
      </c>
      <c r="H29" s="8"/>
      <c r="I29" s="15" t="s">
        <v>356</v>
      </c>
      <c r="J29" s="15" t="s">
        <v>356</v>
      </c>
    </row>
    <row r="30" customFormat="false" ht="23.85" hidden="false" customHeight="false" outlineLevel="0" collapsed="false">
      <c r="A30" s="13" t="n">
        <v>26</v>
      </c>
      <c r="B30" s="4" t="s">
        <v>925</v>
      </c>
      <c r="C30" s="4" t="s">
        <v>926</v>
      </c>
      <c r="D30" s="4" t="s">
        <v>885</v>
      </c>
      <c r="E30" s="13" t="s">
        <v>327</v>
      </c>
      <c r="F30" s="13" t="s">
        <v>332</v>
      </c>
      <c r="G30" s="13" t="s">
        <v>179</v>
      </c>
      <c r="H30" s="8"/>
      <c r="I30" s="15" t="s">
        <v>356</v>
      </c>
      <c r="J30" s="15" t="s">
        <v>356</v>
      </c>
    </row>
    <row r="31" customFormat="false" ht="15" hidden="false" customHeight="false" outlineLevel="0" collapsed="false">
      <c r="A31" s="13" t="n">
        <v>27</v>
      </c>
      <c r="B31" s="4" t="s">
        <v>222</v>
      </c>
      <c r="C31" s="4" t="s">
        <v>927</v>
      </c>
      <c r="D31" s="4" t="s">
        <v>886</v>
      </c>
      <c r="E31" s="13" t="s">
        <v>327</v>
      </c>
      <c r="F31" s="13" t="s">
        <v>886</v>
      </c>
      <c r="G31" s="13" t="s">
        <v>179</v>
      </c>
      <c r="H31" s="8"/>
      <c r="I31" s="15" t="s">
        <v>356</v>
      </c>
      <c r="J31" s="15" t="s">
        <v>356</v>
      </c>
    </row>
    <row r="32" customFormat="false" ht="15" hidden="false" customHeight="false" outlineLevel="0" collapsed="false">
      <c r="A32" s="13" t="n">
        <v>28</v>
      </c>
      <c r="B32" s="4" t="s">
        <v>104</v>
      </c>
      <c r="C32" s="4" t="s">
        <v>928</v>
      </c>
      <c r="D32" s="4" t="s">
        <v>885</v>
      </c>
      <c r="E32" s="13" t="s">
        <v>327</v>
      </c>
      <c r="F32" s="13" t="s">
        <v>332</v>
      </c>
      <c r="G32" s="13" t="s">
        <v>179</v>
      </c>
      <c r="H32" s="8"/>
      <c r="I32" s="15" t="s">
        <v>356</v>
      </c>
      <c r="J32" s="15" t="s">
        <v>356</v>
      </c>
    </row>
  </sheetData>
  <dataValidations count="2">
    <dataValidation allowBlank="false" errorStyle="stop" operator="between" showDropDown="false" showErrorMessage="false" showInputMessage="false" sqref="I5:I32" type="list">
      <formula1>"Chưa làm,Wireframe,Hi-fi,Đã review,Xong"</formula1>
      <formula2>0</formula2>
    </dataValidation>
    <dataValidation allowBlank="false" errorStyle="stop" operator="between" showDropDown="false" showErrorMessage="false" showInputMessage="false" sqref="J5:J32" type="list">
      <formula1>"Chưa làm,Đang code,Đã tích hợp API,Xong"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50"/>
    <col collapsed="false" customWidth="true" hidden="false" outlineLevel="0" max="3" min="3" style="0" width="55"/>
  </cols>
  <sheetData>
    <row r="1" customFormat="false" ht="17.35" hidden="false" customHeight="false" outlineLevel="0" collapsed="false">
      <c r="A1" s="1" t="s">
        <v>929</v>
      </c>
    </row>
    <row r="2" customFormat="false" ht="15" hidden="false" customHeight="false" outlineLevel="0" collapsed="false">
      <c r="A2" s="2" t="s">
        <v>930</v>
      </c>
    </row>
    <row r="4" customFormat="false" ht="15" hidden="false" customHeight="false" outlineLevel="0" collapsed="false">
      <c r="A4" s="5" t="s">
        <v>931</v>
      </c>
    </row>
    <row r="5" customFormat="false" ht="15" hidden="false" customHeight="false" outlineLevel="0" collapsed="false">
      <c r="A5" s="6" t="s">
        <v>932</v>
      </c>
      <c r="B5" s="6" t="s">
        <v>758</v>
      </c>
      <c r="C5" s="6" t="s">
        <v>933</v>
      </c>
    </row>
    <row r="6" customFormat="false" ht="23.85" hidden="false" customHeight="false" outlineLevel="0" collapsed="false">
      <c r="A6" s="4" t="s">
        <v>934</v>
      </c>
      <c r="B6" s="4" t="s">
        <v>935</v>
      </c>
      <c r="C6" s="4" t="s">
        <v>936</v>
      </c>
    </row>
    <row r="7" customFormat="false" ht="23.85" hidden="false" customHeight="false" outlineLevel="0" collapsed="false">
      <c r="A7" s="4" t="s">
        <v>937</v>
      </c>
      <c r="B7" s="4" t="s">
        <v>938</v>
      </c>
      <c r="C7" s="4" t="s">
        <v>939</v>
      </c>
    </row>
    <row r="8" customFormat="false" ht="23.85" hidden="false" customHeight="false" outlineLevel="0" collapsed="false">
      <c r="A8" s="4" t="s">
        <v>940</v>
      </c>
      <c r="B8" s="4" t="s">
        <v>941</v>
      </c>
      <c r="C8" s="4" t="s">
        <v>942</v>
      </c>
    </row>
    <row r="9" customFormat="false" ht="15" hidden="false" customHeight="false" outlineLevel="0" collapsed="false">
      <c r="A9" s="4" t="s">
        <v>943</v>
      </c>
      <c r="B9" s="4" t="s">
        <v>944</v>
      </c>
      <c r="C9" s="4" t="s">
        <v>945</v>
      </c>
    </row>
    <row r="10" customFormat="false" ht="23.85" hidden="false" customHeight="false" outlineLevel="0" collapsed="false">
      <c r="A10" s="4" t="s">
        <v>946</v>
      </c>
      <c r="B10" s="4" t="s">
        <v>947</v>
      </c>
      <c r="C10" s="4" t="s">
        <v>948</v>
      </c>
    </row>
    <row r="11" customFormat="false" ht="15" hidden="false" customHeight="false" outlineLevel="0" collapsed="false">
      <c r="A11" s="4" t="s">
        <v>949</v>
      </c>
      <c r="B11" s="4" t="s">
        <v>950</v>
      </c>
      <c r="C11" s="4" t="s">
        <v>951</v>
      </c>
    </row>
    <row r="13" customFormat="false" ht="15" hidden="false" customHeight="false" outlineLevel="0" collapsed="false">
      <c r="A13" s="5" t="s">
        <v>952</v>
      </c>
    </row>
    <row r="14" customFormat="false" ht="15" hidden="false" customHeight="false" outlineLevel="0" collapsed="false">
      <c r="A14" s="6" t="s">
        <v>953</v>
      </c>
      <c r="B14" s="6" t="s">
        <v>954</v>
      </c>
      <c r="C14" s="6" t="s">
        <v>955</v>
      </c>
    </row>
    <row r="15" customFormat="false" ht="15" hidden="false" customHeight="false" outlineLevel="0" collapsed="false">
      <c r="A15" s="4" t="s">
        <v>956</v>
      </c>
      <c r="B15" s="4" t="s">
        <v>957</v>
      </c>
      <c r="C15" s="4" t="s">
        <v>958</v>
      </c>
    </row>
    <row r="16" customFormat="false" ht="15" hidden="false" customHeight="false" outlineLevel="0" collapsed="false">
      <c r="A16" s="4" t="s">
        <v>959</v>
      </c>
      <c r="B16" s="4" t="s">
        <v>960</v>
      </c>
      <c r="C16" s="4" t="s">
        <v>961</v>
      </c>
    </row>
    <row r="17" customFormat="false" ht="15" hidden="false" customHeight="false" outlineLevel="0" collapsed="false">
      <c r="A17" s="4" t="s">
        <v>962</v>
      </c>
      <c r="B17" s="4" t="s">
        <v>963</v>
      </c>
      <c r="C17" s="4" t="s">
        <v>964</v>
      </c>
    </row>
    <row r="18" customFormat="false" ht="15" hidden="false" customHeight="false" outlineLevel="0" collapsed="false">
      <c r="A18" s="4" t="s">
        <v>965</v>
      </c>
      <c r="B18" s="4" t="s">
        <v>966</v>
      </c>
      <c r="C18" s="4" t="s">
        <v>967</v>
      </c>
    </row>
    <row r="19" customFormat="false" ht="15" hidden="false" customHeight="false" outlineLevel="0" collapsed="false">
      <c r="A19" s="4" t="s">
        <v>968</v>
      </c>
      <c r="B19" s="4" t="s">
        <v>969</v>
      </c>
      <c r="C19" s="4" t="s">
        <v>970</v>
      </c>
    </row>
    <row r="20" customFormat="false" ht="15" hidden="false" customHeight="false" outlineLevel="0" collapsed="false">
      <c r="A20" s="4" t="s">
        <v>971</v>
      </c>
      <c r="B20" s="4" t="s">
        <v>972</v>
      </c>
      <c r="C20" s="4" t="s">
        <v>973</v>
      </c>
    </row>
    <row r="21" customFormat="false" ht="23.85" hidden="false" customHeight="false" outlineLevel="0" collapsed="false">
      <c r="A21" s="4" t="s">
        <v>974</v>
      </c>
      <c r="B21" s="4" t="s">
        <v>975</v>
      </c>
      <c r="C21" s="4" t="s">
        <v>976</v>
      </c>
    </row>
    <row r="23" customFormat="false" ht="15" hidden="false" customHeight="false" outlineLevel="0" collapsed="false">
      <c r="A23" s="5" t="s">
        <v>977</v>
      </c>
    </row>
    <row r="24" customFormat="false" ht="15" hidden="false" customHeight="false" outlineLevel="0" collapsed="false">
      <c r="A24" s="6" t="s">
        <v>978</v>
      </c>
      <c r="B24" s="6" t="s">
        <v>979</v>
      </c>
      <c r="C24" s="6" t="s">
        <v>349</v>
      </c>
    </row>
    <row r="25" customFormat="false" ht="15" hidden="false" customHeight="false" outlineLevel="0" collapsed="false">
      <c r="A25" s="4" t="s">
        <v>980</v>
      </c>
      <c r="B25" s="4" t="s">
        <v>981</v>
      </c>
      <c r="C25" s="4" t="s">
        <v>982</v>
      </c>
    </row>
    <row r="26" customFormat="false" ht="15" hidden="false" customHeight="false" outlineLevel="0" collapsed="false">
      <c r="A26" s="4" t="s">
        <v>983</v>
      </c>
      <c r="B26" s="4" t="s">
        <v>984</v>
      </c>
      <c r="C26" s="4" t="s">
        <v>985</v>
      </c>
    </row>
    <row r="27" customFormat="false" ht="15" hidden="false" customHeight="false" outlineLevel="0" collapsed="false">
      <c r="A27" s="4" t="s">
        <v>986</v>
      </c>
      <c r="B27" s="4" t="s">
        <v>987</v>
      </c>
      <c r="C27" s="4" t="s">
        <v>988</v>
      </c>
    </row>
    <row r="28" customFormat="false" ht="23.85" hidden="false" customHeight="false" outlineLevel="0" collapsed="false">
      <c r="A28" s="4" t="s">
        <v>989</v>
      </c>
      <c r="B28" s="4" t="s">
        <v>990</v>
      </c>
      <c r="C28" s="4" t="s">
        <v>991</v>
      </c>
    </row>
    <row r="29" customFormat="false" ht="35.05" hidden="false" customHeight="false" outlineLevel="0" collapsed="false">
      <c r="A29" s="4" t="s">
        <v>992</v>
      </c>
      <c r="B29" s="4" t="s">
        <v>993</v>
      </c>
      <c r="C29" s="4" t="s">
        <v>994</v>
      </c>
    </row>
    <row r="30" customFormat="false" ht="15" hidden="false" customHeight="false" outlineLevel="0" collapsed="false">
      <c r="A30" s="4" t="s">
        <v>995</v>
      </c>
      <c r="B30" s="4" t="s">
        <v>996</v>
      </c>
      <c r="C30" s="4" t="s">
        <v>997</v>
      </c>
    </row>
    <row r="32" customFormat="false" ht="15" hidden="false" customHeight="false" outlineLevel="0" collapsed="false">
      <c r="A32" s="5" t="s">
        <v>998</v>
      </c>
    </row>
    <row r="33" customFormat="false" ht="15" hidden="false" customHeight="false" outlineLevel="0" collapsed="false">
      <c r="A33" s="6" t="s">
        <v>999</v>
      </c>
      <c r="B33" s="6" t="s">
        <v>1000</v>
      </c>
      <c r="C33" s="6" t="s">
        <v>979</v>
      </c>
    </row>
    <row r="34" customFormat="false" ht="15" hidden="false" customHeight="false" outlineLevel="0" collapsed="false">
      <c r="A34" s="4" t="s">
        <v>50</v>
      </c>
      <c r="B34" s="4" t="s">
        <v>1001</v>
      </c>
      <c r="C34" s="4" t="s">
        <v>1002</v>
      </c>
    </row>
    <row r="35" customFormat="false" ht="15" hidden="false" customHeight="false" outlineLevel="0" collapsed="false">
      <c r="A35" s="4" t="s">
        <v>55</v>
      </c>
      <c r="B35" s="4" t="s">
        <v>1003</v>
      </c>
      <c r="C35" s="4" t="s">
        <v>1004</v>
      </c>
    </row>
    <row r="36" customFormat="false" ht="15" hidden="false" customHeight="false" outlineLevel="0" collapsed="false">
      <c r="A36" s="4" t="s">
        <v>60</v>
      </c>
      <c r="B36" s="4" t="s">
        <v>1005</v>
      </c>
      <c r="C36" s="4" t="s">
        <v>1006</v>
      </c>
    </row>
    <row r="37" customFormat="false" ht="15" hidden="false" customHeight="false" outlineLevel="0" collapsed="false">
      <c r="A37" s="4" t="s">
        <v>65</v>
      </c>
      <c r="B37" s="4" t="s">
        <v>1007</v>
      </c>
      <c r="C37" s="4" t="s">
        <v>1008</v>
      </c>
    </row>
    <row r="38" customFormat="false" ht="15" hidden="false" customHeight="false" outlineLevel="0" collapsed="false">
      <c r="A38" s="4" t="s">
        <v>70</v>
      </c>
      <c r="B38" s="4" t="s">
        <v>1009</v>
      </c>
      <c r="C38" s="4" t="s">
        <v>1010</v>
      </c>
    </row>
    <row r="40" customFormat="false" ht="15" hidden="false" customHeight="false" outlineLevel="0" collapsed="false">
      <c r="A40" s="5" t="s">
        <v>1011</v>
      </c>
    </row>
    <row r="41" customFormat="false" ht="15" hidden="false" customHeight="false" outlineLevel="0" collapsed="false">
      <c r="A41" s="6" t="s">
        <v>1012</v>
      </c>
      <c r="B41" s="6" t="s">
        <v>1013</v>
      </c>
      <c r="C41" s="6" t="s">
        <v>349</v>
      </c>
    </row>
    <row r="42" customFormat="false" ht="23.85" hidden="false" customHeight="false" outlineLevel="0" collapsed="false">
      <c r="A42" s="4" t="s">
        <v>1014</v>
      </c>
      <c r="B42" s="4" t="s">
        <v>1015</v>
      </c>
      <c r="C42" s="4" t="s">
        <v>1016</v>
      </c>
    </row>
    <row r="43" customFormat="false" ht="35.05" hidden="false" customHeight="false" outlineLevel="0" collapsed="false">
      <c r="A43" s="4" t="s">
        <v>1017</v>
      </c>
      <c r="B43" s="4" t="s">
        <v>1018</v>
      </c>
      <c r="C43" s="4" t="s">
        <v>1019</v>
      </c>
    </row>
    <row r="44" customFormat="false" ht="23.85" hidden="false" customHeight="false" outlineLevel="0" collapsed="false">
      <c r="A44" s="4" t="s">
        <v>1020</v>
      </c>
      <c r="B44" s="4" t="s">
        <v>1021</v>
      </c>
      <c r="C44" s="4" t="s">
        <v>1022</v>
      </c>
    </row>
    <row r="45" customFormat="false" ht="23.85" hidden="false" customHeight="false" outlineLevel="0" collapsed="false">
      <c r="A45" s="4" t="s">
        <v>1023</v>
      </c>
      <c r="B45" s="4" t="s">
        <v>1024</v>
      </c>
      <c r="C45" s="4" t="s">
        <v>1025</v>
      </c>
    </row>
    <row r="46" customFormat="false" ht="23.85" hidden="false" customHeight="false" outlineLevel="0" collapsed="false">
      <c r="A46" s="4" t="s">
        <v>1026</v>
      </c>
      <c r="B46" s="4" t="s">
        <v>1027</v>
      </c>
      <c r="C46" s="4" t="s">
        <v>1028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2026-10-25T10:16:03Z</dcterms:created>
  <dc:creator>openpyxl</dc:creator>
  <dc:description/>
  <dc:language>en-US</dc:language>
  <cp:lastModifiedBy/>
  <dcterms:modified xsi:type="dcterms:W3CDTF">2026-10-25T10:16:03Z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